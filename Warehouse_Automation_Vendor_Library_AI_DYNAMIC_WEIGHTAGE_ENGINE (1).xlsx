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fdf64d3e5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Library" sheetId="1" r:id="Read25df2cf17492c"/>
    <x:sheet xmlns:r="http://schemas.openxmlformats.org/officeDocument/2006/relationships" name="Technology Performance Database" sheetId="2" r:id="R5c18dacc2366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SGD &quot;#,##0"/>
    <x:numFmt numFmtId="201" formatCode="0.0"/>
    <x:numFmt numFmtId="202" formatCode="yyyy-mm-dd"/>
    <x:numFmt numFmtId="203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7C2D12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5"/>
      <x:color rgb="FFFFFFFF"/>
      <x:name val="Carlito"/>
    </x:font>
    <x:font>
      <x:b/>
      <x:sz val="12"/>
      <x:color rgb="FFFFFFFF"/>
      <x:name val="Carlito"/>
    </x:font>
    <x:font>
      <x:b/>
      <x:sz val="9"/>
      <x:color rgb="FFFFFFFF"/>
      <x:name val="Carlito"/>
    </x:font>
    <x:font>
      <x:b/>
      <x:sz val="9"/>
      <x:color rgb="FF17365D"/>
      <x:name val="Carlito"/>
    </x:font>
    <x:font>
      <x:b/>
      <x:sz val="9"/>
      <x:color rgb="FF7C2D12"/>
      <x:name val="Carlito"/>
    </x:font>
    <x:font>
      <x:b/>
      <x:sz val="9"/>
      <x:color rgb="FF166534"/>
      <x:name val="Carlito"/>
    </x:font>
    <x:font>
      <x:i/>
      <x:sz val="9"/>
      <x:color rgb="FF475569"/>
      <x:name val="Carlito"/>
    </x:font>
    <x:font>
      <x:sz val="9"/>
      <x:color rgb="FF17365D"/>
      <x:name val="Carlito"/>
    </x:font>
    <x:font>
      <x:sz val="9"/>
      <x:color rgb="FF000000"/>
      <x:name val="Carlito"/>
    </x:font>
    <x:font>
      <x:sz val="9"/>
      <x:name val="Carlito"/>
    </x:font>
    <x:font>
      <x:sz val="8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F355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8FAFC"/>
      </x:patternFill>
    </x:fill>
    <x:fill>
      <x:patternFill patternType="solid">
        <x:fgColor rgb="FFF4F8FC"/>
      </x:patternFill>
    </x:fill>
    <x:fill>
      <x:patternFill patternType="solid">
        <x:fgColor rgb="FF183753"/>
      </x:patternFill>
    </x:fill>
    <x:fill>
      <x:patternFill patternType="solid">
        <x:fgColor rgb="FFFFF2CC"/>
      </x:patternFill>
    </x:fill>
    <x:fill>
      <x:patternFill patternType="solid">
        <x:fgColor rgb="FF0D948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39">
    <x:border/>
    <x:border/>
    <x:border>
      <x:left style="thin">
        <x:color rgb="FFD9E0EA"/>
      </x:left>
      <x:top style="thin">
        <x:color rgb="FFD9E0EA"/>
      </x:top>
    </x:border>
    <x:border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</x:border>
    <x:border>
      <x:right style="thin">
        <x:color rgb="FFD9E0EA"/>
      </x:right>
    </x:border>
    <x:border>
      <x:left style="thin">
        <x:color rgb="FFD9E0EA"/>
      </x:left>
      <x:bottom style="thin">
        <x:color rgb="FFD9E0EA"/>
      </x:bottom>
    </x:border>
    <x:border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top style="thin">
        <x:color rgb="FFD9E0EA"/>
      </x:top>
    </x:border>
    <x:border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</x:border>
    <x:border>
      <x:right style="thin">
        <x:color rgb="FFD9E0EA"/>
      </x:right>
    </x:border>
    <x:border>
      <x:left style="thin">
        <x:color rgb="FFD9E0EA"/>
      </x:left>
      <x:bottom style="thin">
        <x:color rgb="FFD9E0EA"/>
      </x:bottom>
    </x:border>
    <x:border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  <x:border>
      <x:left style="thin">
        <x:color rgb="FFB7C9DD"/>
      </x:left>
      <x:top style="thin">
        <x:color rgb="FFB7C9DD"/>
      </x:top>
      <x:bottom style="thin">
        <x:color rgb="FFB7C9DD"/>
      </x:bottom>
    </x:border>
    <x:border>
      <x:top style="thin">
        <x:color rgb="FFB7C9DD"/>
      </x:top>
      <x:bottom style="thin">
        <x:color rgb="FFB7C9DD"/>
      </x:bottom>
    </x:border>
    <x:border>
      <x:right style="thin">
        <x:color rgb="FFD9E0EA"/>
      </x:right>
      <x:top style="thin">
        <x:color rgb="FFB7C9DD"/>
      </x:top>
      <x:bottom style="thin">
        <x:color rgb="FFB7C9DD"/>
      </x:bottom>
    </x:border>
    <x:border>
      <x:left style="thin">
        <x:color rgb="FFD9E0EA"/>
      </x:left>
      <x:top style="thin">
        <x:color rgb="FFB7C9DD"/>
      </x:top>
      <x:bottom style="thin">
        <x:color rgb="FFB7C9DD"/>
      </x:bottom>
    </x:border>
    <x:border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B7C9DD"/>
      </x:left>
      <x:right style="thin">
        <x:color rgb="FFB7C9DD"/>
      </x:right>
      <x:top style="thin">
        <x:color rgb="FFB7C9DD"/>
      </x:top>
    </x:border>
    <x:border>
      <x:left style="thin">
        <x:color rgb="FFB7C9DD"/>
      </x:left>
      <x:right style="thin">
        <x:color rgb="FFB7C9DD"/>
      </x:right>
    </x:border>
    <x:border>
      <x:left style="thin">
        <x:color rgb="FFB7C9DD"/>
      </x:left>
      <x:right style="thin">
        <x:color rgb="FFB7C9DD"/>
      </x:right>
      <x:bottom style="thin">
        <x:color rgb="FFB7C9DD"/>
      </x:bottom>
    </x:border>
    <x:border>
      <x:left style="thin">
        <x:color rgb="FFB7C9DD"/>
      </x:left>
      <x:top style="thin">
        <x:color rgb="FFB7C9DD"/>
      </x:top>
    </x:border>
    <x:border>
      <x:top style="thin">
        <x:color rgb="FFB7C9DD"/>
      </x:top>
    </x:border>
    <x:border>
      <x:right style="thin">
        <x:color rgb="FFD9E0EA"/>
      </x:right>
      <x:top style="thin">
        <x:color rgb="FFB7C9DD"/>
      </x:top>
    </x:border>
    <x:border>
      <x:left style="thin">
        <x:color rgb="FFD9E0EA"/>
      </x:left>
      <x:top style="thin">
        <x:color rgb="FFB7C9DD"/>
      </x:top>
    </x:border>
    <x:border>
      <x:right style="thin">
        <x:color rgb="FFB7C9DD"/>
      </x:right>
      <x:top style="thin">
        <x:color rgb="FFB7C9DD"/>
      </x:top>
    </x:border>
    <x:border>
      <x:left style="thin">
        <x:color rgb="FFB7C9DD"/>
      </x:left>
    </x:border>
    <x:border>
      <x:right style="thin">
        <x:color rgb="FFB7C9DD"/>
      </x:right>
    </x:border>
    <x:border>
      <x:left style="thin">
        <x:color rgb="FFB7C9DD"/>
      </x:left>
      <x:bottom style="thin">
        <x:color rgb="FFB7C9DD"/>
      </x:bottom>
    </x:border>
    <x:border>
      <x:bottom style="thin">
        <x:color rgb="FFB7C9DD"/>
      </x:bottom>
    </x:border>
    <x:border>
      <x:right style="thin">
        <x:color rgb="FFD9E0EA"/>
      </x:right>
      <x:bottom style="thin">
        <x:color rgb="FFB7C9DD"/>
      </x:bottom>
    </x:border>
    <x:border>
      <x:left style="thin">
        <x:color rgb="FFD9E0EA"/>
      </x:left>
      <x:bottom style="thin">
        <x:color rgb="FFB7C9DD"/>
      </x:bottom>
    </x:border>
    <x:border>
      <x:right style="thin">
        <x:color rgb="FFB7C9DD"/>
      </x:right>
      <x:bottom style="thin">
        <x:color rgb="FFB7C9DD"/>
      </x:bottom>
    </x:border>
    <x:border>
      <x:left style="thin">
        <x:color rgb="FFB7C9DD"/>
      </x:left>
      <x:right style="thin">
        <x:color rgb="FFB7C9DD"/>
      </x:right>
      <x:bottom style="thin">
        <x:color rgb="FFD9E0EA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0" fontId="4" fillId="6" borderId="12" xfId="0" applyNumberFormat="1" applyFont="1" applyFill="1" applyBorder="1" applyAlignment="1">
      <x:alignment vertical="center" wrapText="1"/>
    </x:xf>
    <x:xf numFmtId="200" fontId="4" fillId="0" borderId="14" xfId="0" applyNumberFormat="1" applyFont="1" applyFill="1" applyBorder="1" applyAlignment="1">
      <x:alignment vertical="center" wrapText="1"/>
    </x:xf>
    <x:xf numFmtId="200" fontId="4" fillId="6" borderId="14" xfId="0" applyNumberFormat="1" applyFont="1" applyFill="1" applyBorder="1" applyAlignment="1">
      <x:alignment vertical="center" wrapText="1"/>
    </x:xf>
    <x:xf numFmtId="200" fontId="4" fillId="0" borderId="17" xfId="0" applyNumberFormat="1" applyFont="1" applyFill="1" applyBorder="1" applyAlignment="1">
      <x:alignment vertical="center" wrapText="1"/>
    </x:xf>
    <x:xf numFmtId="200" fontId="4" fillId="6" borderId="3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6" borderId="1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  <x:xf numFmtId="201" fontId="4" fillId="6" borderId="3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6" borderId="1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1" fontId="4" fillId="0" borderId="16" xfId="0" applyNumberFormat="1" applyFont="1" applyFill="1" applyBorder="1" applyAlignment="1">
      <x:alignment vertical="center" wrapText="1"/>
    </x:xf>
    <x:xf numFmtId="202" fontId="4" fillId="6" borderId="4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4" fillId="6" borderId="6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4" fillId="11" borderId="2" xfId="0" applyNumberFormat="1" applyFont="1" applyFill="1" applyBorder="1" applyAlignment="1">
      <x:alignment vertical="center" wrapText="1"/>
    </x:xf>
    <x:xf numFmtId="0" fontId="4" fillId="11" borderId="3" xfId="0" applyNumberFormat="1" applyFont="1" applyFill="1" applyBorder="1" applyAlignment="1">
      <x:alignment vertical="center" wrapText="1"/>
    </x:xf>
    <x:xf numFmtId="0" fontId="4" fillId="11" borderId="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7" fillId="11" borderId="2" xfId="0" applyNumberFormat="1" applyFont="1" applyFill="1" applyBorder="1" applyAlignment="1">
      <x:alignment vertical="center" wrapText="1"/>
    </x:xf>
    <x:xf numFmtId="0" fontId="7" fillId="11" borderId="3" xfId="0" applyNumberFormat="1" applyFont="1" applyFill="1" applyBorder="1" applyAlignment="1">
      <x:alignment vertical="center" wrapText="1"/>
    </x:xf>
    <x:xf numFmtId="0" fontId="7" fillId="11" borderId="4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/>
    <x:xf numFmtId="0" fontId="7" fillId="11" borderId="18" xfId="0" applyNumberFormat="1" applyFont="1" applyFill="1" applyBorder="1" applyAlignment="1">
      <x:alignment vertical="center" wrapText="1"/>
    </x:xf>
    <x:xf numFmtId="0" fontId="7" fillId="11" borderId="19" xfId="0" applyNumberFormat="1" applyFont="1" applyFill="1" applyBorder="1" applyAlignment="1">
      <x:alignment vertical="center" wrapText="1"/>
    </x:xf>
    <x:xf numFmtId="0" fontId="7" fillId="11" borderId="20" xfId="0" applyNumberFormat="1" applyFont="1" applyFill="1" applyBorder="1" applyAlignment="1">
      <x:alignment vertical="center" wrapText="1"/>
    </x:xf>
    <x:xf numFmtId="0" fontId="7" fillId="11" borderId="19" xfId="0" applyNumberFormat="1" applyFont="1" applyFill="1" applyBorder="1"/>
    <x:xf numFmtId="0" fontId="7" fillId="11" borderId="21" xfId="0" applyNumberFormat="1" applyFont="1" applyFill="1" applyBorder="1" applyAlignment="1">
      <x:alignment vertical="center" wrapText="1"/>
    </x:xf>
    <x:xf numFmtId="0" fontId="7" fillId="11" borderId="22" xfId="0" applyNumberFormat="1" applyFont="1" applyFill="1" applyBorder="1" applyAlignment="1">
      <x:alignment vertical="center" wrapText="1"/>
    </x:xf>
    <x:xf numFmtId="0" fontId="7" fillId="11" borderId="19" xfId="0" applyNumberFormat="1" applyFont="1" applyFill="1" applyBorder="1" applyAlignment="1">
      <x:alignment wrapText="1"/>
    </x:xf>
    <x:xf numFmtId="0" fontId="7" fillId="11" borderId="18" xfId="0" applyNumberFormat="1" applyFont="1" applyFill="1" applyBorder="1" applyAlignment="1">
      <x:alignment horizontal="center" vertical="center" wrapText="1"/>
    </x:xf>
    <x:xf numFmtId="0" fontId="7" fillId="11" borderId="19" xfId="0" applyNumberFormat="1" applyFont="1" applyFill="1" applyBorder="1" applyAlignment="1">
      <x:alignment horizontal="center" vertical="center" wrapText="1"/>
    </x:xf>
    <x:xf numFmtId="0" fontId="7" fillId="11" borderId="20" xfId="0" applyNumberFormat="1" applyFont="1" applyFill="1" applyBorder="1" applyAlignment="1">
      <x:alignment horizontal="center" vertical="center" wrapText="1"/>
    </x:xf>
    <x:xf numFmtId="0" fontId="7" fillId="11" borderId="19" xfId="0" applyNumberFormat="1" applyFont="1" applyFill="1" applyBorder="1" applyAlignment="1">
      <x:alignment horizontal="center" wrapText="1"/>
    </x:xf>
    <x:xf numFmtId="0" fontId="7" fillId="11" borderId="21" xfId="0" applyNumberFormat="1" applyFont="1" applyFill="1" applyBorder="1" applyAlignment="1">
      <x:alignment horizontal="center" vertical="center" wrapText="1"/>
    </x:xf>
    <x:xf numFmtId="0" fontId="7" fillId="11" borderId="22" xfId="0" applyNumberFormat="1" applyFont="1" applyFill="1" applyBorder="1" applyAlignment="1">
      <x:alignment horizontal="center" vertical="center" wrapText="1"/>
    </x:xf>
    <x:xf numFmtId="0" fontId="4" fillId="12" borderId="5" xfId="0" applyNumberFormat="1" applyFont="1" applyFill="1" applyBorder="1" applyAlignment="1">
      <x:alignment vertical="center" wrapText="1"/>
    </x:xf>
    <x:xf numFmtId="0" fontId="8" fillId="12" borderId="5" xfId="0" applyNumberFormat="1" applyFont="1" applyFill="1" applyBorder="1" applyAlignment="1">
      <x:alignment vertical="center" wrapText="1"/>
    </x:xf>
    <x:xf numFmtId="0" fontId="8" fillId="12" borderId="23" xfId="0" applyNumberFormat="1" applyFont="1" applyFill="1" applyBorder="1" applyAlignment="1">
      <x:alignment vertical="center" wrapText="1"/>
    </x:xf>
    <x:xf numFmtId="0" fontId="8" fillId="12" borderId="24" xfId="0" applyNumberFormat="1" applyFont="1" applyFill="1" applyBorder="1" applyAlignment="1">
      <x:alignment vertical="center" wrapText="1"/>
    </x:xf>
    <x:xf numFmtId="0" fontId="8" fillId="12" borderId="25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5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5" xfId="0" applyNumberFormat="1" applyFont="1" applyFill="1" applyBorder="1" applyAlignment="1">
      <x:alignment vertical="center" wrapText="1"/>
    </x:xf>
    <x:xf numFmtId="0" fontId="9" fillId="9" borderId="26" xfId="0" applyNumberFormat="1" applyFont="1" applyFill="1" applyBorder="1" applyAlignment="1">
      <x:alignment vertical="center" wrapText="1"/>
    </x:xf>
    <x:xf numFmtId="0" fontId="9" fillId="9" borderId="27" xfId="0" applyNumberFormat="1" applyFont="1" applyFill="1" applyBorder="1" applyAlignment="1">
      <x:alignment vertical="center" wrapText="1"/>
    </x:xf>
    <x:xf numFmtId="0" fontId="9" fillId="9" borderId="28" xfId="0" applyNumberFormat="1" applyFont="1" applyFill="1" applyBorder="1" applyAlignment="1">
      <x:alignment vertical="center" wrapText="1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 applyAlignment="1">
      <x:alignment vertical="center" wrapText="1"/>
    </x:xf>
    <x:xf numFmtId="0" fontId="9" fillId="9" borderId="30" xfId="0" applyNumberFormat="1" applyFont="1" applyFill="1" applyBorder="1" applyAlignment="1">
      <x:alignment vertical="center" wrapText="1"/>
    </x:xf>
    <x:xf numFmtId="0" fontId="9" fillId="9" borderId="31" xfId="0" applyNumberFormat="1" applyFont="1" applyFill="1" applyBorder="1" applyAlignment="1">
      <x:alignment vertical="center" wrapText="1"/>
    </x:xf>
    <x:xf numFmtId="0" fontId="9" fillId="9" xfId="0" applyNumberFormat="1" applyFont="1" applyFill="1" applyBorder="0" applyAlignment="1">
      <x:alignment vertical="center" wrapText="1"/>
    </x:xf>
    <x:xf numFmtId="0" fontId="9" fillId="9" xfId="0" applyNumberFormat="1" applyFont="1" applyFill="1" applyBorder="0"/>
    <x:xf numFmtId="0" fontId="9" fillId="9" borderId="32" xfId="0" applyNumberFormat="1" applyFont="1" applyFill="1" applyBorder="1" applyAlignment="1">
      <x:alignment vertical="center" wrapText="1"/>
    </x:xf>
    <x:xf numFmtId="0" fontId="9" fillId="9" borderId="33" xfId="0" applyNumberFormat="1" applyFont="1" applyFill="1" applyBorder="1" applyAlignment="1">
      <x:alignment vertical="center" wrapText="1"/>
    </x:xf>
    <x:xf numFmtId="0" fontId="9" fillId="9" borderId="34" xfId="0" applyNumberFormat="1" applyFont="1" applyFill="1" applyBorder="1" applyAlignment="1">
      <x:alignment vertical="center" wrapText="1"/>
    </x:xf>
    <x:xf numFmtId="0" fontId="9" fillId="9" borderId="35" xfId="0" applyNumberFormat="1" applyFont="1" applyFill="1" applyBorder="1" applyAlignment="1">
      <x:alignment vertical="center" wrapText="1"/>
    </x:xf>
    <x:xf numFmtId="0" fontId="9" fillId="9" borderId="34" xfId="0" applyNumberFormat="1" applyFont="1" applyFill="1" applyBorder="1"/>
    <x:xf numFmtId="0" fontId="9" fillId="9" borderId="36" xfId="0" applyNumberFormat="1" applyFont="1" applyFill="1" applyBorder="1" applyAlignment="1">
      <x:alignment vertical="center" wrapText="1"/>
    </x:xf>
    <x:xf numFmtId="0" fontId="9" fillId="9" borderId="37" xfId="0" applyNumberFormat="1" applyFont="1" applyFill="1" applyBorder="1" applyAlignment="1">
      <x:alignment vertical="center" wrapText="1"/>
    </x:xf>
    <x:xf numFmtId="0" fontId="9" fillId="9" borderId="26" xfId="0" applyNumberFormat="1" applyFont="1" applyFill="1" applyBorder="1" applyAlignment="1">
      <x:alignment horizontal="center" vertical="center" wrapText="1"/>
    </x:xf>
    <x:xf numFmtId="0" fontId="9" fillId="9" borderId="27" xfId="0" applyNumberFormat="1" applyFont="1" applyFill="1" applyBorder="1" applyAlignment="1">
      <x:alignment horizontal="center" vertical="center" wrapText="1"/>
    </x:xf>
    <x:xf numFmtId="0" fontId="9" fillId="9" borderId="28" xfId="0" applyNumberFormat="1" applyFont="1" applyFill="1" applyBorder="1" applyAlignment="1">
      <x:alignment horizontal="center" vertical="center" wrapText="1"/>
    </x:xf>
    <x:xf numFmtId="0" fontId="9" fillId="9" borderId="27" xfId="0" applyNumberFormat="1" applyFont="1" applyFill="1" applyBorder="1" applyAlignment="1">
      <x:alignment horizontal="center"/>
    </x:xf>
    <x:xf numFmtId="0" fontId="9" fillId="9" borderId="29" xfId="0" applyNumberFormat="1" applyFont="1" applyFill="1" applyBorder="1" applyAlignment="1">
      <x:alignment horizontal="center" vertical="center" wrapText="1"/>
    </x:xf>
    <x:xf numFmtId="0" fontId="9" fillId="9" borderId="30" xfId="0" applyNumberFormat="1" applyFont="1" applyFill="1" applyBorder="1" applyAlignment="1">
      <x:alignment horizontal="center" vertical="center" wrapText="1"/>
    </x:xf>
    <x:xf numFmtId="0" fontId="9" fillId="9" borderId="31" xfId="0" applyNumberFormat="1" applyFont="1" applyFill="1" applyBorder="1" applyAlignment="1">
      <x:alignment horizontal="center" vertical="center" wrapText="1"/>
    </x:xf>
    <x:xf numFmtId="0" fontId="9" fillId="9" xfId="0" applyNumberFormat="1" applyFont="1" applyFill="1" applyBorder="0" applyAlignment="1">
      <x:alignment horizontal="center" vertical="center" wrapText="1"/>
    </x:xf>
    <x:xf numFmtId="0" fontId="9" fillId="9" borderId="6" xfId="0" applyNumberFormat="1" applyFont="1" applyFill="1" applyBorder="1" applyAlignment="1">
      <x:alignment horizontal="center" vertical="center" wrapText="1"/>
    </x:xf>
    <x:xf numFmtId="0" fontId="9" fillId="9" xfId="0" applyNumberFormat="1" applyFont="1" applyFill="1" applyBorder="0" applyAlignment="1">
      <x:alignment horizontal="center"/>
    </x:xf>
    <x:xf numFmtId="0" fontId="9" fillId="9" borderId="5" xfId="0" applyNumberFormat="1" applyFont="1" applyFill="1" applyBorder="1" applyAlignment="1">
      <x:alignment horizontal="center" vertical="center" wrapText="1"/>
    </x:xf>
    <x:xf numFmtId="0" fontId="9" fillId="9" borderId="32" xfId="0" applyNumberFormat="1" applyFont="1" applyFill="1" applyBorder="1" applyAlignment="1">
      <x:alignment horizontal="center" vertical="center" wrapText="1"/>
    </x:xf>
    <x:xf numFmtId="0" fontId="9" fillId="9" borderId="33" xfId="0" applyNumberFormat="1" applyFont="1" applyFill="1" applyBorder="1" applyAlignment="1">
      <x:alignment horizontal="center" vertical="center" wrapText="1"/>
    </x:xf>
    <x:xf numFmtId="0" fontId="9" fillId="9" borderId="34" xfId="0" applyNumberFormat="1" applyFont="1" applyFill="1" applyBorder="1" applyAlignment="1">
      <x:alignment horizontal="center" vertical="center" wrapText="1"/>
    </x:xf>
    <x:xf numFmtId="0" fontId="9" fillId="9" borderId="35" xfId="0" applyNumberFormat="1" applyFont="1" applyFill="1" applyBorder="1" applyAlignment="1">
      <x:alignment horizontal="center" vertical="center" wrapText="1"/>
    </x:xf>
    <x:xf numFmtId="0" fontId="9" fillId="9" borderId="34" xfId="0" applyNumberFormat="1" applyFont="1" applyFill="1" applyBorder="1" applyAlignment="1">
      <x:alignment horizontal="center"/>
    </x:xf>
    <x:xf numFmtId="0" fontId="9" fillId="9" borderId="36" xfId="0" applyNumberFormat="1" applyFont="1" applyFill="1" applyBorder="1" applyAlignment="1">
      <x:alignment horizontal="center" vertical="center" wrapText="1"/>
    </x:xf>
    <x:xf numFmtId="0" fontId="9" fillId="9" borderId="37" xfId="0" applyNumberFormat="1" applyFont="1" applyFill="1" applyBorder="1" applyAlignment="1">
      <x:alignment horizontal="center" vertical="center" wrapText="1"/>
    </x:xf>
    <x:xf numFmtId="0" fontId="9" fillId="9" borderId="27" xfId="0" applyNumberFormat="1" applyFont="1" applyFill="1" applyBorder="1" applyAlignment="1">
      <x:alignment horizontal="center" vertical="center"/>
    </x:xf>
    <x:xf numFmtId="0" fontId="9" fillId="9" xfId="0" applyNumberFormat="1" applyFont="1" applyFill="1" applyBorder="0" applyAlignment="1">
      <x:alignment horizontal="center" vertical="center"/>
    </x:xf>
    <x:xf numFmtId="0" fontId="9" fillId="9" borderId="34" xfId="0" applyNumberFormat="1" applyFont="1" applyFill="1" applyBorder="1" applyAlignment="1">
      <x:alignment horizontal="center" vertical="center"/>
    </x:xf>
    <x:xf numFmtId="203" fontId="9" fillId="9" borderId="26" xfId="0" applyNumberFormat="1" applyFont="1" applyFill="1" applyBorder="1" applyAlignment="1">
      <x:alignment horizontal="center" vertical="center" wrapText="1"/>
    </x:xf>
    <x:xf numFmtId="203" fontId="9" fillId="9" borderId="27" xfId="0" applyNumberFormat="1" applyFont="1" applyFill="1" applyBorder="1" applyAlignment="1">
      <x:alignment horizontal="center" vertical="center" wrapText="1"/>
    </x:xf>
    <x:xf numFmtId="203" fontId="9" fillId="9" borderId="28" xfId="0" applyNumberFormat="1" applyFont="1" applyFill="1" applyBorder="1" applyAlignment="1">
      <x:alignment horizontal="center" vertical="center" wrapText="1"/>
    </x:xf>
    <x:xf numFmtId="203" fontId="9" fillId="9" borderId="27" xfId="0" applyNumberFormat="1" applyFont="1" applyFill="1" applyBorder="1" applyAlignment="1">
      <x:alignment horizontal="center" vertical="center"/>
    </x:xf>
    <x:xf numFmtId="203" fontId="9" fillId="9" borderId="29" xfId="0" applyNumberFormat="1" applyFont="1" applyFill="1" applyBorder="1" applyAlignment="1">
      <x:alignment horizontal="center" vertical="center" wrapText="1"/>
    </x:xf>
    <x:xf numFmtId="203" fontId="9" fillId="9" borderId="30" xfId="0" applyNumberFormat="1" applyFont="1" applyFill="1" applyBorder="1" applyAlignment="1">
      <x:alignment horizontal="center" vertical="center" wrapText="1"/>
    </x:xf>
    <x:xf numFmtId="203" fontId="9" fillId="9" borderId="31" xfId="0" applyNumberFormat="1" applyFont="1" applyFill="1" applyBorder="1" applyAlignment="1">
      <x:alignment horizontal="center" vertical="center" wrapText="1"/>
    </x:xf>
    <x:xf numFmtId="203" fontId="9" fillId="9" xfId="0" applyNumberFormat="1" applyFont="1" applyFill="1" applyBorder="0" applyAlignment="1">
      <x:alignment horizontal="center" vertical="center" wrapText="1"/>
    </x:xf>
    <x:xf numFmtId="203" fontId="9" fillId="9" borderId="6" xfId="0" applyNumberFormat="1" applyFont="1" applyFill="1" applyBorder="1" applyAlignment="1">
      <x:alignment horizontal="center" vertical="center" wrapText="1"/>
    </x:xf>
    <x:xf numFmtId="203" fontId="9" fillId="9" xfId="0" applyNumberFormat="1" applyFont="1" applyFill="1" applyBorder="0" applyAlignment="1">
      <x:alignment horizontal="center" vertical="center"/>
    </x:xf>
    <x:xf numFmtId="203" fontId="9" fillId="9" borderId="5" xfId="0" applyNumberFormat="1" applyFont="1" applyFill="1" applyBorder="1" applyAlignment="1">
      <x:alignment horizontal="center" vertical="center" wrapText="1"/>
    </x:xf>
    <x:xf numFmtId="203" fontId="9" fillId="9" borderId="32" xfId="0" applyNumberFormat="1" applyFont="1" applyFill="1" applyBorder="1" applyAlignment="1">
      <x:alignment horizontal="center" vertical="center" wrapText="1"/>
    </x:xf>
    <x:xf numFmtId="203" fontId="9" fillId="9" borderId="33" xfId="0" applyNumberFormat="1" applyFont="1" applyFill="1" applyBorder="1" applyAlignment="1">
      <x:alignment horizontal="center" vertical="center" wrapText="1"/>
    </x:xf>
    <x:xf numFmtId="203" fontId="9" fillId="9" borderId="34" xfId="0" applyNumberFormat="1" applyFont="1" applyFill="1" applyBorder="1" applyAlignment="1">
      <x:alignment horizontal="center" vertical="center" wrapText="1"/>
    </x:xf>
    <x:xf numFmtId="203" fontId="9" fillId="9" borderId="35" xfId="0" applyNumberFormat="1" applyFont="1" applyFill="1" applyBorder="1" applyAlignment="1">
      <x:alignment horizontal="center" vertical="center" wrapText="1"/>
    </x:xf>
    <x:xf numFmtId="203" fontId="9" fillId="9" borderId="34" xfId="0" applyNumberFormat="1" applyFont="1" applyFill="1" applyBorder="1" applyAlignment="1">
      <x:alignment horizontal="center" vertical="center"/>
    </x:xf>
    <x:xf numFmtId="203" fontId="9" fillId="9" borderId="36" xfId="0" applyNumberFormat="1" applyFont="1" applyFill="1" applyBorder="1" applyAlignment="1">
      <x:alignment horizontal="center" vertical="center" wrapText="1"/>
    </x:xf>
    <x:xf numFmtId="203" fontId="9" fillId="9" borderId="37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0" fillId="13" borderId="23" xfId="0" applyNumberFormat="1" applyFont="1" applyFill="1" applyBorder="1" applyAlignment="1">
      <x:alignment vertical="center" wrapText="1"/>
    </x:xf>
    <x:xf numFmtId="0" fontId="10" fillId="13" borderId="24" xfId="0" applyNumberFormat="1" applyFont="1" applyFill="1" applyBorder="1" applyAlignment="1">
      <x:alignment vertical="center" wrapText="1"/>
    </x:xf>
    <x:xf numFmtId="0" fontId="10" fillId="13" borderId="25" xfId="0" applyNumberFormat="1" applyFont="1" applyFill="1" applyBorder="1" applyAlignment="1">
      <x:alignment vertical="center" wrapText="1"/>
    </x:xf>
    <x:xf numFmtId="0" fontId="10" fillId="13" borderId="23" xfId="0" applyNumberFormat="1" applyFont="1" applyFill="1" applyBorder="1" applyAlignment="1">
      <x:alignment horizontal="center" vertical="center" wrapText="1"/>
    </x:xf>
    <x:xf numFmtId="0" fontId="10" fillId="13" borderId="24" xfId="0" applyNumberFormat="1" applyFont="1" applyFill="1" applyBorder="1" applyAlignment="1">
      <x:alignment horizontal="center" vertical="center"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203" fontId="10" fillId="13" borderId="23" xfId="0" applyNumberFormat="1" applyFont="1" applyFill="1" applyBorder="1" applyAlignment="1">
      <x:alignment horizontal="center" vertical="center" wrapText="1"/>
    </x:xf>
    <x:xf numFmtId="203" fontId="10" fillId="13" borderId="24" xfId="0" applyNumberFormat="1" applyFont="1" applyFill="1" applyBorder="1" applyAlignment="1">
      <x:alignment horizontal="center" vertical="center" wrapText="1"/>
    </x:xf>
    <x:xf numFmtId="203" fontId="10" fillId="13" borderId="25" xfId="0" applyNumberFormat="1" applyFont="1" applyFill="1" applyBorder="1" applyAlignment="1">
      <x:alignment horizontal="center" vertical="center" wrapText="1"/>
    </x:xf>
    <x:xf numFmtId="0" fontId="4" fillId="14" borderId="5" xfId="0" applyNumberFormat="1" applyFont="1" applyFill="1" applyBorder="1" applyAlignment="1">
      <x:alignment vertical="center" wrapText="1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6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1" fillId="14" borderId="5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1" fillId="14" borderId="6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6" xfId="0" applyNumberFormat="1" applyFont="1" applyFill="1" applyBorder="1" applyAlignment="1">
      <x:alignment vertical="center" wrapText="1"/>
    </x:xf>
    <x:xf numFmtId="0" fontId="3" fillId="11" borderId="5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6" xfId="0" applyNumberFormat="1" applyFont="1" applyFill="1" applyBorder="1" applyAlignment="1">
      <x:alignment vertical="center" wrapText="1"/>
    </x:xf>
    <x:xf numFmtId="0" fontId="3" fillId="11" borderId="18" xfId="0" applyNumberFormat="1" applyFont="1" applyFill="1" applyBorder="1" applyAlignment="1">
      <x:alignment vertical="center" wrapText="1"/>
    </x:xf>
    <x:xf numFmtId="0" fontId="3" fillId="11" borderId="19" xfId="0" applyNumberFormat="1" applyFont="1" applyFill="1" applyBorder="1" applyAlignment="1">
      <x:alignment vertical="center" wrapText="1"/>
    </x:xf>
    <x:xf numFmtId="0" fontId="3" fillId="11" borderId="22" xfId="0" applyNumberFormat="1" applyFont="1" applyFill="1" applyBorder="1" applyAlignment="1">
      <x:alignment vertical="center" wrapText="1"/>
    </x:xf>
    <x:xf numFmtId="0" fontId="3" fillId="11" borderId="18" xfId="0" applyNumberFormat="1" applyFont="1" applyFill="1" applyBorder="1" applyAlignment="1">
      <x:alignment horizontal="center" vertical="center" wrapText="1"/>
    </x:xf>
    <x:xf numFmtId="0" fontId="3" fillId="11" borderId="19" xfId="0" applyNumberFormat="1" applyFont="1" applyFill="1" applyBorder="1" applyAlignment="1">
      <x:alignment horizontal="center" vertical="center" wrapText="1"/>
    </x:xf>
    <x:xf numFmtId="0" fontId="3" fillId="11" borderId="22" xfId="0" applyNumberFormat="1" applyFont="1" applyFill="1" applyBorder="1" applyAlignment="1">
      <x:alignment horizontal="center" vertical="center" wrapText="1"/>
    </x:xf>
    <x:xf numFmtId="0" fontId="4" fillId="12" borderId="7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5" xfId="0" applyNumberFormat="1" applyFont="1" applyFill="1" applyBorder="1" applyAlignment="1">
      <x:alignment vertical="center" wrapText="1"/>
    </x:xf>
    <x:xf numFmtId="0" fontId="12" fillId="12" borderId="7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/>
    <x:xf numFmtId="0" fontId="12" fillId="12" borderId="23" xfId="0" applyNumberFormat="1" applyFont="1" applyFill="1" applyBorder="1" applyAlignment="1">
      <x:alignment vertical="center" wrapText="1"/>
    </x:xf>
    <x:xf numFmtId="0" fontId="12" fillId="12" borderId="24" xfId="0" applyNumberFormat="1" applyFont="1" applyFill="1" applyBorder="1" applyAlignment="1">
      <x:alignment vertical="center" wrapText="1"/>
    </x:xf>
    <x:xf numFmtId="0" fontId="12" fillId="12" borderId="38" xfId="0" applyNumberFormat="1" applyFont="1" applyFill="1" applyBorder="1" applyAlignment="1">
      <x:alignment vertical="center" wrapText="1"/>
    </x:xf>
    <x:xf numFmtId="0" fontId="12" fillId="12" borderId="24" xfId="0" applyNumberFormat="1" applyFont="1" applyFill="1" applyBorder="1"/>
    <x:xf numFmtId="0" fontId="12" fillId="12" borderId="25" xfId="0" applyNumberFormat="1" applyFont="1" applyFill="1" applyBorder="1"/>
    <x:xf numFmtId="0" fontId="12" fillId="12" borderId="24" xfId="0" applyNumberFormat="1" applyFont="1" applyFill="1" applyBorder="1" applyAlignment="1">
      <x:alignment wrapText="1"/>
    </x:xf>
    <x:xf numFmtId="0" fontId="12" fillId="12" borderId="25" xfId="0" applyNumberFormat="1" applyFont="1" applyFill="1" applyBorder="1" applyAlignment="1">
      <x:alignment wrapText="1"/>
    </x:xf>
    <x:xf numFmtId="0" fontId="12" fillId="12" borderId="25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9" fillId="9" borderId="8" xfId="0" applyNumberFormat="1" applyFont="1" applyFill="1" applyBorder="1" applyAlignment="1">
      <x:alignment vertical="center" wrapText="1"/>
    </x:xf>
    <x:xf numFmtId="0" fontId="9" fillId="9" borderId="23" xfId="0" applyNumberFormat="1" applyFont="1" applyFill="1" applyBorder="1" applyAlignment="1">
      <x:alignment vertical="center" wrapText="1"/>
    </x:xf>
    <x:xf numFmtId="0" fontId="9" fillId="9" borderId="24" xfId="0" applyNumberFormat="1" applyFont="1" applyFill="1" applyBorder="1" applyAlignment="1">
      <x:alignment vertical="center" wrapText="1"/>
    </x:xf>
    <x:xf numFmtId="0" fontId="9" fillId="9" borderId="38" xfId="0" applyNumberFormat="1" applyFont="1" applyFill="1" applyBorder="1" applyAlignment="1">
      <x:alignment vertical="center" wrapText="1"/>
    </x:xf>
    <x:xf numFmtId="0" fontId="9" fillId="9" borderId="24" xfId="0" applyNumberFormat="1" applyFont="1" applyFill="1" applyBorder="1"/>
    <x:xf numFmtId="0" fontId="9" fillId="9" borderId="25" xfId="0" applyNumberFormat="1" applyFont="1" applyFill="1" applyBorder="1"/>
    <x:xf numFmtId="0" fontId="9" fillId="9" borderId="23" xfId="0" applyNumberFormat="1" applyFont="1" applyFill="1" applyBorder="1" applyAlignment="1">
      <x:alignment horizontal="center" vertical="center" wrapText="1"/>
    </x:xf>
    <x:xf numFmtId="0" fontId="9" fillId="9" borderId="24" xfId="0" applyNumberFormat="1" applyFont="1" applyFill="1" applyBorder="1" applyAlignment="1">
      <x:alignment horizontal="center" vertical="center" wrapText="1"/>
    </x:xf>
    <x:xf numFmtId="0" fontId="9" fillId="9" borderId="38" xfId="0" applyNumberFormat="1" applyFont="1" applyFill="1" applyBorder="1" applyAlignment="1">
      <x:alignment horizontal="center" vertical="center" wrapText="1"/>
    </x:xf>
    <x:xf numFmtId="0" fontId="9" fillId="9" borderId="24" xfId="0" applyNumberFormat="1" applyFont="1" applyFill="1" applyBorder="1" applyAlignment="1">
      <x:alignment horizontal="center"/>
    </x:xf>
    <x:xf numFmtId="0" fontId="9" fillId="9" borderId="25" xfId="0" applyNumberFormat="1" applyFont="1" applyFill="1" applyBorder="1" applyAlignment="1">
      <x:alignment horizontal="center"/>
    </x:xf>
    <x:xf numFmtId="0" fontId="9" fillId="9" borderId="24" xfId="0" applyNumberFormat="1" applyFont="1" applyFill="1" applyBorder="1" applyAlignment="1">
      <x:alignment horizontal="center" vertical="center"/>
    </x:xf>
    <x:xf numFmtId="0" fontId="9" fillId="9" borderId="25" xfId="0" applyNumberFormat="1" applyFont="1" applyFill="1" applyBorder="1" applyAlignment="1">
      <x:alignment horizontal="center" vertical="center"/>
    </x:xf>
    <x:xf numFmtId="0" fontId="4" fillId="14" borderId="8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8" xfId="0" applyNumberFormat="1" applyFont="1" applyFill="1" applyBorder="1" applyAlignment="1">
      <x:alignment vertical="center" wrapText="1"/>
    </x:xf>
    <x:xf numFmtId="0" fontId="14" fillId="14" borderId="0" xfId="0" applyNumberFormat="1" applyFont="1" applyFill="1" applyBorder="1"/>
    <x:xf numFmtId="0" fontId="13" fillId="14" borderId="23" xfId="0" applyNumberFormat="1" applyFont="1" applyFill="1" applyBorder="1" applyAlignment="1">
      <x:alignment vertical="center" wrapText="1"/>
    </x:xf>
    <x:xf numFmtId="0" fontId="13" fillId="14" borderId="24" xfId="0" applyNumberFormat="1" applyFont="1" applyFill="1" applyBorder="1" applyAlignment="1">
      <x:alignment vertical="center" wrapText="1"/>
    </x:xf>
    <x:xf numFmtId="0" fontId="13" fillId="14" borderId="38" xfId="0" applyNumberFormat="1" applyFont="1" applyFill="1" applyBorder="1" applyAlignment="1">
      <x:alignment vertical="center" wrapText="1"/>
    </x:xf>
    <x:xf numFmtId="0" fontId="14" fillId="14" borderId="24" xfId="0" applyNumberFormat="1" applyFont="1" applyFill="1" applyBorder="1"/>
    <x:xf numFmtId="0" fontId="14" fillId="14" borderId="25" xfId="0" applyNumberFormat="1" applyFont="1" applyFill="1" applyBorder="1"/>
    <x:xf numFmtId="0" fontId="14" fillId="14" borderId="24" xfId="0" applyNumberFormat="1" applyFont="1" applyFill="1" applyBorder="1" applyAlignment="1">
      <x:alignment wrapText="1"/>
    </x:xf>
    <x:xf numFmtId="0" fontId="14" fillId="14" borderId="25" xfId="0" applyNumberFormat="1" applyFont="1" applyFill="1" applyBorder="1" applyAlignment="1">
      <x:alignment wrapText="1"/>
    </x:xf>
    <x:xf numFmtId="0" fontId="13" fillId="14" borderId="23" xfId="0" applyNumberFormat="1" applyFont="1" applyFill="1" applyBorder="1" applyAlignment="1">
      <x:alignment horizontal="center" vertical="center" wrapText="1"/>
    </x:xf>
    <x:xf numFmtId="0" fontId="13" fillId="14" borderId="24" xfId="0" applyNumberFormat="1" applyFont="1" applyFill="1" applyBorder="1" applyAlignment="1">
      <x:alignment horizontal="center" vertical="center" wrapText="1"/>
    </x:xf>
    <x:xf numFmtId="0" fontId="13" fillId="14" borderId="38" xfId="0" applyNumberFormat="1" applyFont="1" applyFill="1" applyBorder="1" applyAlignment="1">
      <x:alignment horizontal="center" vertical="center" wrapText="1"/>
    </x:xf>
    <x:xf numFmtId="0" fontId="14" fillId="14" borderId="24" xfId="0" applyNumberFormat="1" applyFont="1" applyFill="1" applyBorder="1" applyAlignment="1">
      <x:alignment horizontal="center" wrapText="1"/>
    </x:xf>
    <x:xf numFmtId="0" fontId="14" fillId="14" borderId="25" xfId="0" applyNumberFormat="1" applyFont="1" applyFill="1" applyBorder="1" applyAlignment="1">
      <x:alignment horizontal="center" wrapText="1"/>
    </x:xf>
    <x:xf numFmtId="0" fontId="14" fillId="14" borderId="24" xfId="0" applyNumberFormat="1" applyFont="1" applyFill="1" applyBorder="1" applyAlignment="1">
      <x:alignment horizontal="center" vertical="center" wrapText="1"/>
    </x:xf>
    <x:xf numFmtId="0" fontId="14" fillId="14" borderId="25" xfId="0" applyNumberFormat="1" applyFont="1" applyFill="1" applyBorder="1" applyAlignment="1">
      <x:alignment horizontal="center" vertical="center" wrapText="1"/>
    </x:xf>
    <x:xf numFmtId="0" fontId="4" fillId="15" borderId="6" xfId="0" applyNumberFormat="1" applyFont="1" applyFill="1" applyBorder="1" applyAlignment="1">
      <x:alignment vertical="center" wrapText="1"/>
    </x:xf>
    <x:xf numFmtId="0" fontId="4" fillId="15" borderId="9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3" fillId="15" borderId="6" xfId="0" applyNumberFormat="1" applyFont="1" applyFill="1" applyBorder="1" applyAlignment="1">
      <x:alignment vertical="center" wrapText="1"/>
    </x:xf>
    <x:xf numFmtId="0" fontId="13" fillId="15" borderId="9" xfId="0" applyNumberFormat="1" applyFont="1" applyFill="1" applyBorder="1" applyAlignment="1">
      <x:alignment vertical="center" wrapText="1"/>
    </x:xf>
    <x:xf numFmtId="0" fontId="14" fillId="15" borderId="0" xfId="0" applyNumberFormat="1" applyFont="1" applyFill="1" applyBorder="1"/>
    <x:xf numFmtId="0" fontId="13" fillId="15" borderId="23" xfId="0" applyNumberFormat="1" applyFont="1" applyFill="1" applyBorder="1" applyAlignment="1">
      <x:alignment vertical="center" wrapText="1"/>
    </x:xf>
    <x:xf numFmtId="0" fontId="13" fillId="15" borderId="24" xfId="0" applyNumberFormat="1" applyFont="1" applyFill="1" applyBorder="1" applyAlignment="1">
      <x:alignment vertical="center" wrapText="1"/>
    </x:xf>
    <x:xf numFmtId="0" fontId="13" fillId="15" borderId="38" xfId="0" applyNumberFormat="1" applyFont="1" applyFill="1" applyBorder="1" applyAlignment="1">
      <x:alignment vertical="center" wrapText="1"/>
    </x:xf>
    <x:xf numFmtId="0" fontId="14" fillId="15" borderId="24" xfId="0" applyNumberFormat="1" applyFont="1" applyFill="1" applyBorder="1"/>
    <x:xf numFmtId="0" fontId="14" fillId="15" borderId="25" xfId="0" applyNumberFormat="1" applyFont="1" applyFill="1" applyBorder="1"/>
    <x:xf numFmtId="0" fontId="14" fillId="15" borderId="24" xfId="0" applyNumberFormat="1" applyFont="1" applyFill="1" applyBorder="1" applyAlignment="1">
      <x:alignment wrapText="1"/>
    </x:xf>
    <x:xf numFmtId="0" fontId="14" fillId="15" borderId="25" xfId="0" applyNumberFormat="1" applyFont="1" applyFill="1" applyBorder="1" applyAlignment="1">
      <x:alignment wrapText="1"/>
    </x:xf>
    <x:xf numFmtId="0" fontId="14" fillId="15" borderId="24" xfId="0" applyNumberFormat="1" applyFont="1" applyFill="1" applyBorder="1" applyAlignment="1">
      <x:alignment vertical="center" wrapText="1"/>
    </x:xf>
    <x:xf numFmtId="0" fontId="14" fillId="15" borderId="25" xfId="0" applyNumberFormat="1" applyFont="1" applyFill="1" applyBorder="1" applyAlignment="1">
      <x:alignment vertical="center" wrapText="1"/>
    </x:xf>
    <x:xf numFmtId="0" fontId="7" fillId="11" borderId="18" xfId="0" applyNumberFormat="1" applyFont="1" applyFill="1" applyBorder="1"/>
    <x:xf numFmtId="0" fontId="7" fillId="11" borderId="22" xfId="0" applyNumberFormat="1" applyFont="1" applyFill="1" applyBorder="1"/>
    <x:xf numFmtId="0" fontId="7" fillId="11" borderId="18" xfId="0" applyNumberFormat="1" applyFont="1" applyFill="1" applyBorder="1" applyAlignment="1">
      <x:alignment wrapText="1"/>
    </x:xf>
    <x:xf numFmtId="0" fontId="7" fillId="11" borderId="22" xfId="0" applyNumberFormat="1" applyFont="1" applyFill="1" applyBorder="1" applyAlignment="1">
      <x:alignment wrapText="1"/>
    </x:xf>
    <x:xf numFmtId="0" fontId="7" fillId="11" borderId="18" xfId="0" applyNumberFormat="1" applyFont="1" applyFill="1" applyBorder="1" applyAlignment="1">
      <x:alignment horizontal="center" wrapText="1"/>
    </x:xf>
    <x:xf numFmtId="0" fontId="7" fillId="11" borderId="22" xfId="0" applyNumberFormat="1" applyFont="1" applyFill="1" applyBorder="1" applyAlignment="1">
      <x:alignment horizontal="center" wrapText="1"/>
    </x:xf>
    <x:xf numFmtId="0" fontId="15" fillId="15" borderId="0" xfId="0" applyNumberFormat="1" applyFont="1" applyFill="1" applyBorder="1"/>
    <x:xf numFmtId="0" fontId="15" fillId="15" borderId="26" xfId="0" applyNumberFormat="1" applyFont="1" applyFill="1" applyBorder="1"/>
    <x:xf numFmtId="0" fontId="15" fillId="15" borderId="27" xfId="0" applyNumberFormat="1" applyFont="1" applyFill="1" applyBorder="1"/>
    <x:xf numFmtId="0" fontId="15" fillId="15" borderId="30" xfId="0" applyNumberFormat="1" applyFont="1" applyFill="1" applyBorder="1"/>
    <x:xf numFmtId="0" fontId="15" fillId="15" borderId="31" xfId="0" applyNumberFormat="1" applyFont="1" applyFill="1" applyBorder="1"/>
    <x:xf numFmtId="0" fontId="15" fillId="15" xfId="0" applyNumberFormat="1" applyFont="1" applyFill="1" applyBorder="0"/>
    <x:xf numFmtId="0" fontId="15" fillId="15" borderId="32" xfId="0" applyNumberFormat="1" applyFont="1" applyFill="1" applyBorder="1"/>
    <x:xf numFmtId="0" fontId="15" fillId="15" borderId="33" xfId="0" applyNumberFormat="1" applyFont="1" applyFill="1" applyBorder="1"/>
    <x:xf numFmtId="0" fontId="15" fillId="15" borderId="34" xfId="0" applyNumberFormat="1" applyFont="1" applyFill="1" applyBorder="1"/>
    <x:xf numFmtId="0" fontId="15" fillId="15" borderId="37" xfId="0" applyNumberFormat="1" applyFont="1" applyFill="1" applyBorder="1"/>
    <x:xf numFmtId="0" fontId="15" fillId="15" borderId="26" xfId="0" applyNumberFormat="1" applyFont="1" applyFill="1" applyBorder="1" applyAlignment="1">
      <x:alignment wrapText="1"/>
    </x:xf>
    <x:xf numFmtId="0" fontId="15" fillId="15" borderId="27" xfId="0" applyNumberFormat="1" applyFont="1" applyFill="1" applyBorder="1" applyAlignment="1">
      <x:alignment wrapText="1"/>
    </x:xf>
    <x:xf numFmtId="0" fontId="15" fillId="15" borderId="30" xfId="0" applyNumberFormat="1" applyFont="1" applyFill="1" applyBorder="1" applyAlignment="1">
      <x:alignment wrapText="1"/>
    </x:xf>
    <x:xf numFmtId="0" fontId="15" fillId="15" borderId="31" xfId="0" applyNumberFormat="1" applyFont="1" applyFill="1" applyBorder="1" applyAlignment="1">
      <x:alignment wrapText="1"/>
    </x:xf>
    <x:xf numFmtId="0" fontId="15" fillId="15" xfId="0" applyNumberFormat="1" applyFont="1" applyFill="1" applyBorder="0" applyAlignment="1">
      <x:alignment wrapText="1"/>
    </x:xf>
    <x:xf numFmtId="0" fontId="15" fillId="15" borderId="32" xfId="0" applyNumberFormat="1" applyFont="1" applyFill="1" applyBorder="1" applyAlignment="1">
      <x:alignment wrapText="1"/>
    </x:xf>
    <x:xf numFmtId="0" fontId="15" fillId="15" borderId="33" xfId="0" applyNumberFormat="1" applyFont="1" applyFill="1" applyBorder="1" applyAlignment="1">
      <x:alignment wrapText="1"/>
    </x:xf>
    <x:xf numFmtId="0" fontId="15" fillId="15" borderId="34" xfId="0" applyNumberFormat="1" applyFont="1" applyFill="1" applyBorder="1" applyAlignment="1">
      <x:alignment wrapText="1"/>
    </x:xf>
    <x:xf numFmtId="0" fontId="15" fillId="15" borderId="37" xfId="0" applyNumberFormat="1" applyFont="1" applyFill="1" applyBorder="1" applyAlignment="1">
      <x:alignment wrapText="1"/>
    </x:xf>
    <x:xf numFmtId="0" fontId="15" fillId="15" borderId="26" xfId="0" applyNumberFormat="1" applyFont="1" applyFill="1" applyBorder="1" applyAlignment="1">
      <x:alignment vertical="center" wrapText="1"/>
    </x:xf>
    <x:xf numFmtId="0" fontId="15" fillId="15" borderId="27" xfId="0" applyNumberFormat="1" applyFont="1" applyFill="1" applyBorder="1" applyAlignment="1">
      <x:alignment vertical="center" wrapText="1"/>
    </x:xf>
    <x:xf numFmtId="0" fontId="15" fillId="15" borderId="30" xfId="0" applyNumberFormat="1" applyFont="1" applyFill="1" applyBorder="1" applyAlignment="1">
      <x:alignment vertical="center" wrapText="1"/>
    </x:xf>
    <x:xf numFmtId="0" fontId="15" fillId="15" borderId="31" xfId="0" applyNumberFormat="1" applyFont="1" applyFill="1" applyBorder="1" applyAlignment="1">
      <x:alignment vertical="center" wrapText="1"/>
    </x:xf>
    <x:xf numFmtId="0" fontId="15" fillId="15" xfId="0" applyNumberFormat="1" applyFont="1" applyFill="1" applyBorder="0" applyAlignment="1">
      <x:alignment vertical="center" wrapText="1"/>
    </x:xf>
    <x:xf numFmtId="0" fontId="15" fillId="15" borderId="32" xfId="0" applyNumberFormat="1" applyFont="1" applyFill="1" applyBorder="1" applyAlignment="1">
      <x:alignment vertical="center" wrapText="1"/>
    </x:xf>
    <x:xf numFmtId="0" fontId="15" fillId="15" borderId="33" xfId="0" applyNumberFormat="1" applyFont="1" applyFill="1" applyBorder="1" applyAlignment="1">
      <x:alignment vertical="center" wrapText="1"/>
    </x:xf>
    <x:xf numFmtId="0" fontId="15" fillId="15" borderId="34" xfId="0" applyNumberFormat="1" applyFont="1" applyFill="1" applyBorder="1" applyAlignment="1">
      <x:alignment vertical="center" wrapText="1"/>
    </x:xf>
    <x:xf numFmtId="0" fontId="15" fillId="15" borderId="37" xfId="0" applyNumberFormat="1" applyFont="1" applyFill="1" applyBorder="1" applyAlignment="1">
      <x:alignment vertical="center" wrapText="1"/>
    </x:xf>
    <x:xf numFmtId="0" fontId="15" fillId="14" borderId="26" xfId="0" applyNumberFormat="1" applyFont="1" applyFill="1" applyBorder="1" applyAlignment="1">
      <x:alignment vertical="center" wrapText="1"/>
    </x:xf>
    <x:xf numFmtId="0" fontId="15" fillId="14" borderId="27" xfId="0" applyNumberFormat="1" applyFont="1" applyFill="1" applyBorder="1" applyAlignment="1">
      <x:alignment vertical="center" wrapText="1"/>
    </x:xf>
    <x:xf numFmtId="0" fontId="15" fillId="14" borderId="30" xfId="0" applyNumberFormat="1" applyFont="1" applyFill="1" applyBorder="1" applyAlignment="1">
      <x:alignment vertical="center" wrapText="1"/>
    </x:xf>
    <x:xf numFmtId="0" fontId="15" fillId="14" borderId="31" xfId="0" applyNumberFormat="1" applyFont="1" applyFill="1" applyBorder="1" applyAlignment="1">
      <x:alignment vertical="center" wrapText="1"/>
    </x:xf>
    <x:xf numFmtId="0" fontId="15" fillId="14" xfId="0" applyNumberFormat="1" applyFont="1" applyFill="1" applyBorder="0" applyAlignment="1">
      <x:alignment vertical="center" wrapText="1"/>
    </x:xf>
    <x:xf numFmtId="0" fontId="15" fillId="14" borderId="3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59d693891422a" /><Relationship Type="http://schemas.openxmlformats.org/officeDocument/2006/relationships/theme" Target="/xl/theme/theme1.xml" Id="R79134b9be0184218" /><Relationship Type="http://schemas.openxmlformats.org/officeDocument/2006/relationships/sharedStrings" Target="/xl/sharedStrings.xml" Id="Rb240b85766f846f7" /><Relationship Type="http://schemas.openxmlformats.org/officeDocument/2006/relationships/worksheet" Target="/xl/worksheets/sheet1.xml" Id="Read25df2cf17492c" /><Relationship Type="http://schemas.openxmlformats.org/officeDocument/2006/relationships/worksheet" Target="/xl/worksheets/sheet2.xml" Id="R5c18dacc23664a49" /></Relationships>
</file>

<file path=xl/tables/table1.xml><?xml version="1.0" encoding="utf-8"?>
<x:table xmlns:x="http://schemas.openxmlformats.org/spreadsheetml/2006/main" id="1" name="VendorLibraryTable" displayName="VendorLibraryTable" ref="A3:F17" headerRowCount="1">
  <x:tableColumns count="6">
    <x:tableColumn id="1" name="Vendor Name"/>
    <x:tableColumn id="2" name="Website"/>
    <x:tableColumn id="3" name="Solution ID"/>
    <x:tableColumn id="4" name="Technology ID"/>
    <x:tableColumn id="5" name="Technology Name"/>
    <x:tableColumn id="6" name="Vendor Minimum Budget"/>
  </x:tableColumns>
  <x:tableStyleInfo name="TableStyleMedium2" showRowStripes="1"/>
</x:table>
</file>

<file path=xl/tables/table2.xml><?xml version="1.0" encoding="utf-8"?>
<x:table xmlns:x="http://schemas.openxmlformats.org/spreadsheetml/2006/main" id="2" name="GlobalAISettingsTable" displayName="GlobalAISettingsTable" ref="A14:D32" headerRowCount="1">
  <x:tableColumns count="4">
    <x:tableColumn id="1" name="A-I Setting / Rule"/>
    <x:tableColumn id="2" name="Value"/>
    <x:tableColumn id="3" name="Unit"/>
    <x:tableColumn id="4" name="What it controls"/>
  </x:tableColumns>
  <x:tableStyleInfo name="TableStyleMedium2" showRowStripes="1"/>
</x:table>
</file>

<file path=xl/tables/table3.xml><?xml version="1.0" encoding="utf-8"?>
<x:table xmlns:x="http://schemas.openxmlformats.org/spreadsheetml/2006/main" id="3" name="TechnologyPerformanceTable" displayName="TechnologyPerformanceTable" ref="F14:AG24" headerRowCount="1">
  <x:tableColumns count="28">
    <x:tableColumn id="1" name="Technology ID"/>
    <x:tableColumn id="2" name="Technology Name"/>
    <x:tableColumn id="3" name="Enabled"/>
    <x:tableColumn id="4" name="Family"/>
    <x:tableColumn id="5" name="Pallet Fit"/>
    <x:tableColumn id="6" name="Carton Fit"/>
    <x:tableColumn id="7" name="Tote/Bin Fit"/>
    <x:tableColumn id="8" name="Small Item Fit"/>
    <x:tableColumn id="9" name="Piece Pick Fit"/>
    <x:tableColumn id="10" name="Density Capability"/>
    <x:tableColumn id="11" name="Outbound Throughput Capability"/>
    <x:tableColumn id="12" name="Inbound Pallet Capability"/>
    <x:tableColumn id="13" name="Deep-Lane Suitability"/>
    <x:tableColumn id="14" name="Random Access Capability"/>
    <x:tableColumn id="15" name="Labour Saving Capability"/>
    <x:tableColumn id="16" name="Flexibility"/>
    <x:tableColumn id="17" name="Scalability"/>
    <x:tableColumn id="18" name="Minimum Height"/>
    <x:tableColumn id="19" name="Minimum Floor Load"/>
    <x:tableColumn id="20" name="Minimum Floor Area"/>
    <x:tableColumn id="21" name="Minimum Lease Years"/>
    <x:tableColumn id="22" name="Minimum Data Readiness"/>
    <x:tableColumn id="23" name="Technology Budget Min"/>
    <x:tableColumn id="24" name="Technology Budget Max"/>
    <x:tableColumn id="25" name="Best Fit"/>
    <x:tableColumn id="26" name="Less Suitable When"/>
    <x:tableColumn id="27" name="Reference Source"/>
    <x:tableColumn id="28" name="Last Upd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9bcf04ce4e47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dca62896224291" /><Relationship Type="http://schemas.openxmlformats.org/officeDocument/2006/relationships/table" Target="/xl/tables/table3.xml" Id="R562162b9356c48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34" hidden="0" customWidth="1"/>
    <x:col min="6" max="6" width="20" hidden="0" customWidth="1"/>
  </x:cols>
  <x:sheetData>
    <x:row r="1" ht="28" customHeight="1">
      <x:c r="A1" s="5" t="str">
        <x:v>Vendor Library</x:v>
      </x:c>
      <x:c r="B1" s="5"/>
      <x:c r="C1" s="5"/>
      <x:c r="D1" s="5"/>
      <x:c r="E1" s="5"/>
      <x:c r="F1" s="5"/>
    </x:row>
    <x:row r="2" ht="38" customHeight="1">
      <x:c r="A2" s="13" t="str">
        <x:v>Simple vendor reference for early-stage technology screening. Sheet 2 controls the editable calculation logic used by the HTML.</x:v>
      </x:c>
      <x:c r="B2" s="13"/>
      <x:c r="C2" s="13"/>
      <x:c r="D2" s="13"/>
      <x:c r="E2" s="13"/>
      <x:c r="F2" s="13"/>
    </x:row>
    <x:row r="3" ht="38" customHeight="1">
      <x:c r="A3" s="22" t="str">
        <x:v>Vendor Name</x:v>
      </x:c>
      <x:c r="B3" s="22" t="str">
        <x:v>Website</x:v>
      </x:c>
      <x:c r="C3" s="22" t="str">
        <x:v>Solution ID</x:v>
      </x:c>
      <x:c r="D3" s="22" t="str">
        <x:v>Technology ID</x:v>
      </x:c>
      <x:c r="E3" s="22" t="str">
        <x:v>Technology Name</x:v>
      </x:c>
      <x:c r="F3" s="22" t="str">
        <x:v>Vendor Minimum Budget</x:v>
      </x:c>
    </x:row>
    <x:row r="4">
      <x:c r="A4" s="92" t="str">
        <x:v>Daifuku</x:v>
      </x:c>
      <x:c r="B4" s="93" t="str">
        <x:v>https://www.daifuku.com/</x:v>
      </x:c>
      <x:c r="C4" s="93" t="str">
        <x:v>SOL001</x:v>
      </x:c>
      <x:c r="D4" s="93" t="str">
        <x:v>TECH003</x:v>
      </x:c>
      <x:c r="E4" s="93" t="str">
        <x:v>Pallet ASRS</x:v>
      </x:c>
      <x:c r="F4" s="122" t="n">
        <x:v>3000000</x:v>
      </x:c>
    </x:row>
    <x:row r="5">
      <x:c r="A5" s="49" t="str">
        <x:v>Dematic</x:v>
      </x:c>
      <x:c r="B5" s="50" t="str">
        <x:v>https://www.dematic.com/</x:v>
      </x:c>
      <x:c r="C5" s="50" t="str">
        <x:v>SOL001</x:v>
      </x:c>
      <x:c r="D5" s="50" t="str">
        <x:v>TECH003</x:v>
      </x:c>
      <x:c r="E5" s="50" t="str">
        <x:v>Pallet ASRS</x:v>
      </x:c>
      <x:c r="F5" s="123" t="n">
        <x:v>3000000</x:v>
      </x:c>
    </x:row>
    <x:row r="6">
      <x:c r="A6" s="98" t="str">
        <x:v>SSI Schaefer</x:v>
      </x:c>
      <x:c r="B6" s="99" t="str">
        <x:v>https://www.ssi-schaefer.com/en-asia</x:v>
      </x:c>
      <x:c r="C6" s="99" t="str">
        <x:v>SOL002</x:v>
      </x:c>
      <x:c r="D6" s="99" t="str">
        <x:v>TECH006</x:v>
      </x:c>
      <x:c r="E6" s="99" t="str">
        <x:v>Pallet Shuttle</x:v>
      </x:c>
      <x:c r="F6" s="124" t="n">
        <x:v>800000</x:v>
      </x:c>
    </x:row>
    <x:row r="7">
      <x:c r="A7" s="49" t="str">
        <x:v>HWA Robotics</x:v>
      </x:c>
      <x:c r="B7" s="50" t="str">
        <x:v>https://www.hwarobotics.com/</x:v>
      </x:c>
      <x:c r="C7" s="50" t="str">
        <x:v>SOL003</x:v>
      </x:c>
      <x:c r="D7" s="50" t="str">
        <x:v>TECH004</x:v>
      </x:c>
      <x:c r="E7" s="50" t="str">
        <x:v>4-Way Shuttle</x:v>
      </x:c>
      <x:c r="F7" s="123" t="n">
        <x:v>2500000</x:v>
      </x:c>
    </x:row>
    <x:row r="8">
      <x:c r="A8" s="98" t="str">
        <x:v>Jungheinrich</x:v>
      </x:c>
      <x:c r="B8" s="99" t="str">
        <x:v>https://www.jungheinrich.com/</x:v>
      </x:c>
      <x:c r="C8" s="99" t="str">
        <x:v>SOL004</x:v>
      </x:c>
      <x:c r="D8" s="99" t="str">
        <x:v>TECH007</x:v>
      </x:c>
      <x:c r="E8" s="99" t="str">
        <x:v>VNA / Autonomous Reach Truck</x:v>
      </x:c>
      <x:c r="F8" s="124" t="n">
        <x:v>250000</x:v>
      </x:c>
    </x:row>
    <x:row r="9">
      <x:c r="A9" s="49" t="str">
        <x:v>Kardex</x:v>
      </x:c>
      <x:c r="B9" s="50" t="str">
        <x:v>https://www.kardex.com/</x:v>
      </x:c>
      <x:c r="C9" s="50" t="str">
        <x:v>SOL005</x:v>
      </x:c>
      <x:c r="D9" s="50" t="str">
        <x:v>TECH008</x:v>
      </x:c>
      <x:c r="E9" s="50" t="str">
        <x:v>Vertical Lift Module</x:v>
      </x:c>
      <x:c r="F9" s="123" t="n">
        <x:v>250000</x:v>
      </x:c>
    </x:row>
    <x:row r="10">
      <x:c r="A10" s="98" t="str">
        <x:v>Modula</x:v>
      </x:c>
      <x:c r="B10" s="99" t="str">
        <x:v>https://www.modula.eu/</x:v>
      </x:c>
      <x:c r="C10" s="99" t="str">
        <x:v>SOL005</x:v>
      </x:c>
      <x:c r="D10" s="99" t="str">
        <x:v>TECH008</x:v>
      </x:c>
      <x:c r="E10" s="99" t="str">
        <x:v>Vertical Lift Module</x:v>
      </x:c>
      <x:c r="F10" s="124" t="n">
        <x:v>250000</x:v>
      </x:c>
    </x:row>
    <x:row r="11">
      <x:c r="A11" s="49" t="str">
        <x:v>Daifuku</x:v>
      </x:c>
      <x:c r="B11" s="50" t="str">
        <x:v>https://www.daifuku.com/</x:v>
      </x:c>
      <x:c r="C11" s="50" t="str">
        <x:v>SOL006</x:v>
      </x:c>
      <x:c r="D11" s="50" t="str">
        <x:v>TECH002</x:v>
      </x:c>
      <x:c r="E11" s="50" t="str">
        <x:v>Miniload ASRS</x:v>
      </x:c>
      <x:c r="F11" s="123" t="n">
        <x:v>1500000</x:v>
      </x:c>
    </x:row>
    <x:row r="12">
      <x:c r="A12" s="98" t="str">
        <x:v>SSI Schaefer</x:v>
      </x:c>
      <x:c r="B12" s="99" t="str">
        <x:v>https://www.ssi-schaefer.com/en-asia</x:v>
      </x:c>
      <x:c r="C12" s="99" t="str">
        <x:v>SOL006</x:v>
      </x:c>
      <x:c r="D12" s="99" t="str">
        <x:v>TECH002</x:v>
      </x:c>
      <x:c r="E12" s="99" t="str">
        <x:v>Miniload ASRS</x:v>
      </x:c>
      <x:c r="F12" s="124" t="n">
        <x:v>1500000</x:v>
      </x:c>
    </x:row>
    <x:row r="13">
      <x:c r="A13" s="49" t="str">
        <x:v>AutoStore</x:v>
      </x:c>
      <x:c r="B13" s="50" t="str">
        <x:v>https://www.autostoresystem.com/</x:v>
      </x:c>
      <x:c r="C13" s="50" t="str">
        <x:v>SOL007</x:v>
      </x:c>
      <x:c r="D13" s="50" t="str">
        <x:v>TECH001</x:v>
      </x:c>
      <x:c r="E13" s="50" t="str">
        <x:v>Cube Storage System</x:v>
      </x:c>
      <x:c r="F13" s="123" t="n">
        <x:v>1800000</x:v>
      </x:c>
    </x:row>
    <x:row r="14">
      <x:c r="A14" s="98" t="str">
        <x:v>Hai Robotics</x:v>
      </x:c>
      <x:c r="B14" s="99" t="str">
        <x:v>https://www.hairobotics.com/</x:v>
      </x:c>
      <x:c r="C14" s="99" t="str">
        <x:v>SOL008</x:v>
      </x:c>
      <x:c r="D14" s="99" t="str">
        <x:v>TECH009</x:v>
      </x:c>
      <x:c r="E14" s="99" t="str">
        <x:v>Tote Bin-to-Person Robotics</x:v>
      </x:c>
      <x:c r="F14" s="124" t="n">
        <x:v>1200000</x:v>
      </x:c>
    </x:row>
    <x:row r="15">
      <x:c r="A15" s="49" t="str">
        <x:v>Libiao Robotics</x:v>
      </x:c>
      <x:c r="B15" s="50" t="str">
        <x:v>https://www.libiaorobot.com/</x:v>
      </x:c>
      <x:c r="C15" s="50" t="str">
        <x:v>SOL009</x:v>
      </x:c>
      <x:c r="D15" s="50" t="str">
        <x:v>TECH010</x:v>
      </x:c>
      <x:c r="E15" s="50" t="str">
        <x:v>Sorting Robotics / airRob</x:v>
      </x:c>
      <x:c r="F15" s="123" t="n">
        <x:v>800000</x:v>
      </x:c>
    </x:row>
    <x:row r="16">
      <x:c r="A16" s="98" t="str">
        <x:v>Geek+</x:v>
      </x:c>
      <x:c r="B16" s="99" t="str">
        <x:v>https://www.geekplus.com/</x:v>
      </x:c>
      <x:c r="C16" s="99" t="str">
        <x:v>SOL010</x:v>
      </x:c>
      <x:c r="D16" s="99" t="str">
        <x:v>TECH005</x:v>
      </x:c>
      <x:c r="E16" s="99" t="str">
        <x:v>AMR Goods-to-Person</x:v>
      </x:c>
      <x:c r="F16" s="124" t="n">
        <x:v>350000</x:v>
      </x:c>
    </x:row>
    <x:row r="17">
      <x:c r="A17" s="52" t="str">
        <x:v>Quicktron</x:v>
      </x:c>
      <x:c r="B17" s="53" t="str">
        <x:v>https://www.quicktron.com/</x:v>
      </x:c>
      <x:c r="C17" s="53" t="str">
        <x:v>SOL010</x:v>
      </x:c>
      <x:c r="D17" s="53" t="str">
        <x:v>TECH005</x:v>
      </x:c>
      <x:c r="E17" s="53" t="str">
        <x:v>AMR Goods-to-Person</x:v>
      </x:c>
      <x:c r="F17" s="125" t="n">
        <x:v>350000</x:v>
      </x:c>
    </x:row>
  </x:sheetData>
  <x:mergeCells>
    <x:mergeCell ref="A1:F1"/>
    <x:mergeCell ref="A2:F2"/>
  </x:mergeCells>
  <x:dataValidations count="1">
    <x:dataValidation type="list" sqref="D4:D200">
      <x:formula1>"TECH001,TECH002,TECH003,TECH004,TECH005,TECH006,TECH007,TECH008,TECH009,TECH010"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9bcf04ce4e47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8" hidden="0" customWidth="1"/>
    <x:col min="4" max="4" width="55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15" hidden="0" customWidth="1"/>
    <x:col min="17" max="17" width="15" hidden="0" customWidth="1"/>
    <x:col min="18" max="18" width="14" hidden="0" customWidth="1"/>
    <x:col min="19" max="19" width="15" hidden="0" customWidth="1"/>
    <x:col min="20" max="20" width="14" hidden="0" customWidth="1"/>
    <x:col min="21" max="21" width="12" hidden="0" customWidth="1"/>
    <x:col min="22" max="22" width="12" hidden="0" customWidth="1"/>
    <x:col min="23" max="23" width="14" hidden="0" customWidth="1"/>
    <x:col min="24" max="24" width="16" hidden="0" customWidth="1"/>
    <x:col min="25" max="25" width="15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36" hidden="0" customWidth="1"/>
    <x:col min="31" max="31" width="36" hidden="0" customWidth="1"/>
    <x:col min="32" max="32" width="34" hidden="0" customWidth="1"/>
    <x:col min="33" max="33" width="14" hidden="0" customWidth="1"/>
  </x:cols>
  <x:sheetData>
    <x:row r="1" ht="28" customHeight="1">
      <x:c r="A1" s="152" t="str">
        <x:v>Technology Performance Database — A-I Dynamic Weightage Engine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 s="152"/>
      <x:c r="T1" s="152"/>
      <x:c r="U1" s="152"/>
      <x:c r="V1" s="152"/>
      <x:c r="W1" s="152"/>
      <x:c r="X1" s="152"/>
      <x:c r="Y1" s="152"/>
      <x:c r="Z1" s="152"/>
      <x:c r="AA1" s="152"/>
      <x:c r="AB1" s="152"/>
      <x:c r="AC1" s="152"/>
      <x:c r="AD1" s="152"/>
      <x:c r="AE1" s="152"/>
      <x:c r="AF1" s="152"/>
      <x:c r="AG1" s="152"/>
    </x:row>
    <x:row r="2" ht="42" customHeight="1">
      <x:c r="A2" s="153" t="str">
        <x:v>The HTML reads this sheet when the connected folder reloads. Part G selects the primary and secondary objective. The A-I matrix below controls the scoring weightage, while the settings and technology table control thresholds, technology capabilities and minimum requirements.</x:v>
      </x:c>
      <x:c r="B2" s="153"/>
      <x:c r="C2" s="153"/>
      <x:c r="D2" s="153"/>
      <x:c r="E2" s="153"/>
      <x:c r="F2" s="153"/>
      <x:c r="G2" s="153"/>
      <x:c r="H2" s="153"/>
      <x:c r="I2" s="153"/>
      <x:c r="J2" s="153"/>
      <x:c r="K2" s="153"/>
      <x:c r="L2" s="153"/>
      <x:c r="M2" s="153"/>
      <x:c r="N2" s="153"/>
      <x:c r="O2" s="153"/>
      <x:c r="P2" s="153"/>
      <x:c r="Q2" s="153"/>
      <x:c r="R2" s="153"/>
      <x:c r="S2" s="153"/>
      <x:c r="T2" s="153"/>
      <x:c r="U2" s="153"/>
      <x:c r="V2" s="153"/>
      <x:c r="W2" s="153"/>
      <x:c r="X2" s="153"/>
      <x:c r="Y2" s="153"/>
      <x:c r="Z2" s="153"/>
      <x:c r="AA2" s="153"/>
      <x:c r="AB2" s="153"/>
      <x:c r="AC2" s="153"/>
      <x:c r="AD2" s="153"/>
      <x:c r="AE2" s="153"/>
      <x:c r="AF2" s="153"/>
      <x:c r="AG2" s="153"/>
    </x:row>
    <x:row r="3" ht="25" customHeight="1">
      <x:c r="A3" s="156" t="str">
        <x:v>G. Dynamic Objective Weightage Matrix — editable A-I scoring points</x:v>
      </x:c>
      <x:c r="B3" s="156"/>
      <x:c r="C3" s="156"/>
      <x:c r="D3" s="156"/>
      <x:c r="E3" s="159"/>
      <x:c r="F3" s="156"/>
      <x:c r="G3" s="156"/>
      <x:c r="H3" s="156"/>
      <x:c r="I3" s="156"/>
      <x:c r="J3" s="156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</x:row>
    <x:row r="4" ht="58" customHeight="1">
      <x:c r="A4" s="175" t="str">
        <x:v>Business Objective</x:v>
      </x:c>
      <x:c r="B4" s="176" t="str">
        <x:v>A. Facility / Lease — Building</x:v>
      </x:c>
      <x:c r="C4" s="176" t="str">
        <x:v>B &amp; I. Data / IT / Automation Readiness</x:v>
      </x:c>
      <x:c r="D4" s="177" t="str">
        <x:v>C &amp; E. Inbound / Order Picking — Throughput</x:v>
      </x:c>
      <x:c r="E4" s="176" t="str">
        <x:v>D. Storage / Inventory — Density</x:v>
      </x:c>
      <x:c r="F4" s="179" t="str">
        <x:v>D &amp; E. Product / Picking — Product Fit</x:v>
      </x:c>
      <x:c r="G4" s="176" t="str">
        <x:v>F. Labour / Productivity</x:v>
      </x:c>
      <x:c r="H4" s="176" t="str">
        <x:v>H. Growth — Scalability</x:v>
      </x:c>
      <x:c r="I4" s="176" t="str">
        <x:v>A. Budget</x:v>
      </x:c>
      <x:c r="J4" s="180" t="str">
        <x:v>Total</x:v>
      </x:c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138"/>
      <x:c r="X4" s="93"/>
      <x:c r="Y4" s="93"/>
      <x:c r="Z4" s="93"/>
      <x:c r="AA4" s="93"/>
      <x:c r="AB4" s="130"/>
      <x:c r="AC4" s="130"/>
      <x:c r="AD4" s="93"/>
      <x:c r="AE4" s="93"/>
      <x:c r="AF4" s="93"/>
      <x:c r="AG4" s="146"/>
    </x:row>
    <x:row r="5" ht="34" customHeight="1">
      <x:c r="A5" s="183" t="str">
        <x:v>D. Maximise storage density</x:v>
      </x:c>
      <x:c r="B5" s="231" t="n">
        <x:v>10</x:v>
      </x:c>
      <x:c r="C5" s="232" t="n">
        <x:v>5</x:v>
      </x:c>
      <x:c r="D5" s="233" t="n">
        <x:v>15</x:v>
      </x:c>
      <x:c r="E5" s="234" t="n">
        <x:v>30</x:v>
      </x:c>
      <x:c r="F5" s="235" t="n">
        <x:v>14</x:v>
      </x:c>
      <x:c r="G5" s="232" t="n">
        <x:v>13</x:v>
      </x:c>
      <x:c r="H5" s="232" t="n">
        <x:v>8</x:v>
      </x:c>
      <x:c r="I5" s="236" t="n">
        <x:v>5</x:v>
      </x:c>
      <x:c r="J5" s="257" t="n">
        <x:f>SUM(B5:I5)</x:f>
        <x:v>100</x:v>
      </x:c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139"/>
      <x:c r="X5" s="50"/>
      <x:c r="Y5" s="50"/>
      <x:c r="Z5" s="50"/>
      <x:c r="AA5" s="50"/>
      <x:c r="AB5" s="131"/>
      <x:c r="AC5" s="131"/>
      <x:c r="AD5" s="50"/>
      <x:c r="AE5" s="50"/>
      <x:c r="AF5" s="50"/>
      <x:c r="AG5" s="147"/>
    </x:row>
    <x:row r="6" ht="34" customHeight="1">
      <x:c r="A6" s="184" t="str">
        <x:v>E. Increase throughput</x:v>
      </x:c>
      <x:c r="B6" s="237" t="n">
        <x:v>10</x:v>
      </x:c>
      <x:c r="C6" s="238" t="n">
        <x:v>5</x:v>
      </x:c>
      <x:c r="D6" s="239" t="n">
        <x:v>30</x:v>
      </x:c>
      <x:c r="E6" s="240" t="n">
        <x:v>15</x:v>
      </x:c>
      <x:c r="F6" s="241" t="n">
        <x:v>14</x:v>
      </x:c>
      <x:c r="G6" s="238" t="n">
        <x:v>13</x:v>
      </x:c>
      <x:c r="H6" s="238" t="n">
        <x:v>8</x:v>
      </x:c>
      <x:c r="I6" s="242" t="n">
        <x:v>5</x:v>
      </x:c>
      <x:c r="J6" s="258" t="n">
        <x:f>SUM(B6:I6)</x:f>
        <x:v>100</x:v>
      </x:c>
      <x:c r="K6" s="99"/>
      <x:c r="L6" s="99"/>
      <x:c r="M6" s="99"/>
      <x:c r="N6" s="99"/>
      <x:c r="O6" s="99"/>
      <x:c r="P6" s="99"/>
      <x:c r="Q6" s="99"/>
      <x:c r="R6" s="99"/>
      <x:c r="S6" s="99"/>
      <x:c r="T6" s="99"/>
      <x:c r="U6" s="99"/>
      <x:c r="V6" s="99"/>
      <x:c r="W6" s="140"/>
      <x:c r="X6" s="99"/>
      <x:c r="Y6" s="99"/>
      <x:c r="Z6" s="99"/>
      <x:c r="AA6" s="99"/>
      <x:c r="AB6" s="132"/>
      <x:c r="AC6" s="132"/>
      <x:c r="AD6" s="99"/>
      <x:c r="AE6" s="99"/>
      <x:c r="AF6" s="99"/>
      <x:c r="AG6" s="148"/>
    </x:row>
    <x:row r="7" ht="34" customHeight="1">
      <x:c r="A7" s="184" t="str">
        <x:v>F. Reduce labour</x:v>
      </x:c>
      <x:c r="B7" s="237" t="n">
        <x:v>9</x:v>
      </x:c>
      <x:c r="C7" s="238" t="n">
        <x:v>5</x:v>
      </x:c>
      <x:c r="D7" s="239" t="n">
        <x:v>18</x:v>
      </x:c>
      <x:c r="E7" s="240" t="n">
        <x:v>17</x:v>
      </x:c>
      <x:c r="F7" s="241" t="n">
        <x:v>14</x:v>
      </x:c>
      <x:c r="G7" s="238" t="n">
        <x:v>25</x:v>
      </x:c>
      <x:c r="H7" s="238" t="n">
        <x:v>7</x:v>
      </x:c>
      <x:c r="I7" s="242" t="n">
        <x:v>5</x:v>
      </x:c>
      <x:c r="J7" s="258" t="n">
        <x:f>SUM(B7:I7)</x:f>
        <x:v>100</x:v>
      </x:c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139"/>
      <x:c r="X7" s="50"/>
      <x:c r="Y7" s="50"/>
      <x:c r="Z7" s="50"/>
      <x:c r="AA7" s="50"/>
      <x:c r="AB7" s="131"/>
      <x:c r="AC7" s="131"/>
      <x:c r="AD7" s="50"/>
      <x:c r="AE7" s="50"/>
      <x:c r="AF7" s="50"/>
      <x:c r="AG7" s="147"/>
    </x:row>
    <x:row r="8" ht="34" customHeight="1">
      <x:c r="A8" s="184" t="str">
        <x:v>E. Improve picking accuracy</x:v>
      </x:c>
      <x:c r="B8" s="237" t="n">
        <x:v>10</x:v>
      </x:c>
      <x:c r="C8" s="238" t="n">
        <x:v>5</x:v>
      </x:c>
      <x:c r="D8" s="239" t="n">
        <x:v>20</x:v>
      </x:c>
      <x:c r="E8" s="240" t="n">
        <x:v>20</x:v>
      </x:c>
      <x:c r="F8" s="241" t="n">
        <x:v>15</x:v>
      </x:c>
      <x:c r="G8" s="238" t="n">
        <x:v>15</x:v>
      </x:c>
      <x:c r="H8" s="238" t="n">
        <x:v>10</x:v>
      </x:c>
      <x:c r="I8" s="242" t="n">
        <x:v>5</x:v>
      </x:c>
      <x:c r="J8" s="258" t="n">
        <x:f>SUM(B8:I8)</x:f>
        <x:v>100</x:v>
      </x:c>
      <x:c r="K8" s="99"/>
      <x:c r="L8" s="99"/>
      <x:c r="M8" s="99"/>
      <x:c r="N8" s="99"/>
      <x:c r="O8" s="99"/>
      <x:c r="P8" s="99"/>
      <x:c r="Q8" s="99"/>
      <x:c r="R8" s="99"/>
      <x:c r="S8" s="99"/>
      <x:c r="T8" s="99"/>
      <x:c r="U8" s="99"/>
      <x:c r="V8" s="99"/>
      <x:c r="W8" s="140"/>
      <x:c r="X8" s="99"/>
      <x:c r="Y8" s="99"/>
      <x:c r="Z8" s="99"/>
      <x:c r="AA8" s="99"/>
      <x:c r="AB8" s="132"/>
      <x:c r="AC8" s="132"/>
      <x:c r="AD8" s="99"/>
      <x:c r="AE8" s="99"/>
      <x:c r="AF8" s="99"/>
      <x:c r="AG8" s="148"/>
    </x:row>
    <x:row r="9" ht="34" customHeight="1">
      <x:c r="A9" s="184" t="str">
        <x:v>A. Improve site fit / ergonomics</x:v>
      </x:c>
      <x:c r="B9" s="237" t="n">
        <x:v>8</x:v>
      </x:c>
      <x:c r="C9" s="238" t="n">
        <x:v>5</x:v>
      </x:c>
      <x:c r="D9" s="239" t="n">
        <x:v>15</x:v>
      </x:c>
      <x:c r="E9" s="240" t="n">
        <x:v>17</x:v>
      </x:c>
      <x:c r="F9" s="241" t="n">
        <x:v>18</x:v>
      </x:c>
      <x:c r="G9" s="238" t="n">
        <x:v>25</x:v>
      </x:c>
      <x:c r="H9" s="238" t="n">
        <x:v>7</x:v>
      </x:c>
      <x:c r="I9" s="242" t="n">
        <x:v>5</x:v>
      </x:c>
      <x:c r="J9" s="258" t="n">
        <x:f>SUM(B9:I9)</x:f>
        <x:v>100</x:v>
      </x:c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139"/>
      <x:c r="X9" s="50"/>
      <x:c r="Y9" s="50"/>
      <x:c r="Z9" s="50"/>
      <x:c r="AA9" s="50"/>
      <x:c r="AB9" s="131"/>
      <x:c r="AC9" s="131"/>
      <x:c r="AD9" s="50"/>
      <x:c r="AE9" s="50"/>
      <x:c r="AF9" s="50"/>
      <x:c r="AG9" s="147"/>
    </x:row>
    <x:row r="10" ht="34" customHeight="1">
      <x:c r="A10" s="184" t="str">
        <x:v>H. Improve scalability</x:v>
      </x:c>
      <x:c r="B10" s="237" t="n">
        <x:v>8</x:v>
      </x:c>
      <x:c r="C10" s="238" t="n">
        <x:v>5</x:v>
      </x:c>
      <x:c r="D10" s="239" t="n">
        <x:v>18</x:v>
      </x:c>
      <x:c r="E10" s="240" t="n">
        <x:v>16</x:v>
      </x:c>
      <x:c r="F10" s="241" t="n">
        <x:v>13</x:v>
      </x:c>
      <x:c r="G10" s="238" t="n">
        <x:v>13</x:v>
      </x:c>
      <x:c r="H10" s="238" t="n">
        <x:v>22</x:v>
      </x:c>
      <x:c r="I10" s="242" t="n">
        <x:v>5</x:v>
      </x:c>
      <x:c r="J10" s="258" t="n">
        <x:f>SUM(B10:I10)</x:f>
        <x:v>100</x:v>
      </x:c>
      <x:c r="K10" s="99"/>
      <x:c r="L10" s="99"/>
      <x:c r="M10" s="99"/>
      <x:c r="N10" s="99"/>
      <x:c r="O10" s="99"/>
      <x:c r="P10" s="99"/>
      <x:c r="Q10" s="99"/>
      <x:c r="R10" s="99"/>
      <x:c r="S10" s="99"/>
      <x:c r="T10" s="99"/>
      <x:c r="U10" s="99"/>
      <x:c r="V10" s="99"/>
      <x:c r="W10" s="140"/>
      <x:c r="X10" s="99"/>
      <x:c r="Y10" s="99"/>
      <x:c r="Z10" s="99"/>
      <x:c r="AA10" s="99"/>
      <x:c r="AB10" s="132"/>
      <x:c r="AC10" s="132"/>
      <x:c r="AD10" s="99"/>
      <x:c r="AE10" s="99"/>
      <x:c r="AF10" s="99"/>
      <x:c r="AG10" s="148"/>
    </x:row>
    <x:row r="11" ht="34" customHeight="1">
      <x:c r="A11" s="185" t="str">
        <x:v>A. Reduce cost</x:v>
      </x:c>
      <x:c r="B11" s="243" t="n">
        <x:v>8</x:v>
      </x:c>
      <x:c r="C11" s="244" t="n">
        <x:v>5</x:v>
      </x:c>
      <x:c r="D11" s="245" t="n">
        <x:v>16</x:v>
      </x:c>
      <x:c r="E11" s="246" t="n">
        <x:v>16</x:v>
      </x:c>
      <x:c r="F11" s="247" t="n">
        <x:v>13</x:v>
      </x:c>
      <x:c r="G11" s="244" t="n">
        <x:v>13</x:v>
      </x:c>
      <x:c r="H11" s="244" t="n">
        <x:v>7</x:v>
      </x:c>
      <x:c r="I11" s="248" t="n">
        <x:v>22</x:v>
      </x:c>
      <x:c r="J11" s="259" t="n">
        <x:f>SUM(B11:I11)</x:f>
        <x:v>100</x:v>
      </x:c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139"/>
      <x:c r="X11" s="50"/>
      <x:c r="Y11" s="50"/>
      <x:c r="Z11" s="50"/>
      <x:c r="AA11" s="50"/>
      <x:c r="AB11" s="131"/>
      <x:c r="AC11" s="131"/>
      <x:c r="AD11" s="50"/>
      <x:c r="AE11" s="50"/>
      <x:c r="AF11" s="50"/>
      <x:c r="AG11" s="147"/>
    </x:row>
    <x:row r="12" ht="42" customHeight="1">
      <x:c r="A12" s="264" t="str">
        <x:v>How it works: Part G selects the primary and secondary objective. The HTML blends the two selected rows using the objective blend below. Edit any matrix number directly. If a row does not total exactly 100, the HTML automatically normalises that row to 100 when the workbook is loaded.</x:v>
      </x:c>
      <x:c r="B12" s="265"/>
      <x:c r="C12" s="265"/>
      <x:c r="D12" s="266"/>
      <x:c r="E12" s="265"/>
      <x:c r="F12" s="264"/>
      <x:c r="G12" s="265"/>
      <x:c r="H12" s="265"/>
      <x:c r="I12" s="265"/>
      <x:c r="J12" s="265"/>
      <x:c r="K12" s="99"/>
      <x:c r="L12" s="99"/>
      <x:c r="M12" s="99"/>
      <x:c r="N12" s="99"/>
      <x:c r="O12" s="99"/>
      <x:c r="P12" s="99"/>
      <x:c r="Q12" s="99"/>
      <x:c r="R12" s="99"/>
      <x:c r="S12" s="99"/>
      <x:c r="T12" s="99"/>
      <x:c r="U12" s="99"/>
      <x:c r="V12" s="99"/>
      <x:c r="W12" s="140"/>
      <x:c r="X12" s="99"/>
      <x:c r="Y12" s="99"/>
      <x:c r="Z12" s="99"/>
      <x:c r="AA12" s="99"/>
      <x:c r="AB12" s="132"/>
      <x:c r="AC12" s="132"/>
      <x:c r="AD12" s="99"/>
      <x:c r="AE12" s="99"/>
      <x:c r="AF12" s="99"/>
      <x:c r="AG12" s="148"/>
    </x:row>
    <x:row r="13">
      <x:c r="A13" s="49"/>
      <x:c r="B13" s="50"/>
      <x:c r="C13" s="50"/>
      <x:c r="D13" s="51"/>
      <x:c r="F13" s="52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141"/>
      <x:c r="X13" s="53"/>
      <x:c r="Y13" s="53"/>
      <x:c r="Z13" s="53"/>
      <x:c r="AA13" s="53"/>
      <x:c r="AB13" s="133"/>
      <x:c r="AC13" s="133"/>
      <x:c r="AD13" s="53"/>
      <x:c r="AE13" s="53"/>
      <x:c r="AF13" s="53"/>
      <x:c r="AG13" s="149"/>
    </x:row>
    <x:row r="14" ht="42" customHeight="1">
      <x:c r="A14" s="278" t="str">
        <x:v>A-I Setting / Rule</x:v>
      </x:c>
      <x:c r="B14" s="279" t="str">
        <x:v>Value</x:v>
      </x:c>
      <x:c r="C14" s="279" t="str">
        <x:v>Unit</x:v>
      </x:c>
      <x:c r="D14" s="280" t="str">
        <x:v>What it controls</x:v>
      </x:c>
      <x:c r="F14" s="175" t="str">
        <x:v>Technology ID</x:v>
      </x:c>
      <x:c r="G14" s="176" t="str">
        <x:v>Technology Name</x:v>
      </x:c>
      <x:c r="H14" s="176" t="str">
        <x:v>Enabled</x:v>
      </x:c>
      <x:c r="I14" s="176" t="str">
        <x:v>Family</x:v>
      </x:c>
      <x:c r="J14" s="176" t="str">
        <x:v>Pallet Fit</x:v>
      </x:c>
      <x:c r="K14" s="176" t="str">
        <x:v>Carton Fit</x:v>
      </x:c>
      <x:c r="L14" s="176" t="str">
        <x:v>Tote/Bin Fit</x:v>
      </x:c>
      <x:c r="M14" s="176" t="str">
        <x:v>Small Item Fit</x:v>
      </x:c>
      <x:c r="N14" s="176" t="str">
        <x:v>Piece Pick Fit</x:v>
      </x:c>
      <x:c r="O14" s="176" t="str">
        <x:v>Density Capability</x:v>
      </x:c>
      <x:c r="P14" s="176" t="str">
        <x:v>Outbound Throughput Capability</x:v>
      </x:c>
      <x:c r="Q14" s="176" t="str">
        <x:v>Inbound Pallet Capability</x:v>
      </x:c>
      <x:c r="R14" s="176" t="str">
        <x:v>Deep-Lane Suitability</x:v>
      </x:c>
      <x:c r="S14" s="176" t="str">
        <x:v>Random Access Capability</x:v>
      </x:c>
      <x:c r="T14" s="176" t="str">
        <x:v>Labour Saving Capability</x:v>
      </x:c>
      <x:c r="U14" s="176" t="str">
        <x:v>Flexibility</x:v>
      </x:c>
      <x:c r="V14" s="176" t="str">
        <x:v>Scalability</x:v>
      </x:c>
      <x:c r="W14" s="176" t="str">
        <x:v>Minimum Height</x:v>
      </x:c>
      <x:c r="X14" s="176" t="str">
        <x:v>Minimum Floor Load</x:v>
      </x:c>
      <x:c r="Y14" s="176" t="str">
        <x:v>Minimum Floor Area</x:v>
      </x:c>
      <x:c r="Z14" s="176" t="str">
        <x:v>Minimum Lease Years</x:v>
      </x:c>
      <x:c r="AA14" s="176" t="str">
        <x:v>Minimum Data Readiness</x:v>
      </x:c>
      <x:c r="AB14" s="176" t="str">
        <x:v>Technology Budget Min</x:v>
      </x:c>
      <x:c r="AC14" s="176" t="str">
        <x:v>Technology Budget Max</x:v>
      </x:c>
      <x:c r="AD14" s="176" t="str">
        <x:v>Best Fit</x:v>
      </x:c>
      <x:c r="AE14" s="176" t="str">
        <x:v>Less Suitable When</x:v>
      </x:c>
      <x:c r="AF14" s="176" t="str">
        <x:v>Reference Source</x:v>
      </x:c>
      <x:c r="AG14" s="180" t="str">
        <x:v>Last Updated</x:v>
      </x:c>
    </x:row>
    <x:row r="15" ht="30" customHeight="1">
      <x:c r="A15" s="286" t="str">
        <x:v>G. Primary Objective Blend</x:v>
      </x:c>
      <x:c r="B15" s="301" t="n">
        <x:v>70</x:v>
      </x:c>
      <x:c r="C15" s="319" t="str">
        <x:v>%</x:v>
      </x:c>
      <x:c r="D15" s="332" t="str">
        <x:v>Share of the dynamic A-I weightage controlled by the primary objective.</x:v>
      </x:c>
      <x:c r="F15" s="375" t="str">
        <x:v>TECH001</x:v>
      </x:c>
      <x:c r="G15" s="376" t="str">
        <x:v>Cube Storage System</x:v>
      </x:c>
      <x:c r="H15" s="376" t="str">
        <x:v>Yes</x:v>
      </x:c>
      <x:c r="I15" s="376" t="str">
        <x:v>Bin</x:v>
      </x:c>
      <x:c r="J15" s="376" t="n">
        <x:v>5</x:v>
      </x:c>
      <x:c r="K15" s="376" t="n">
        <x:v>65</x:v>
      </x:c>
      <x:c r="L15" s="376" t="n">
        <x:v>100</x:v>
      </x:c>
      <x:c r="M15" s="376" t="n">
        <x:v>100</x:v>
      </x:c>
      <x:c r="N15" s="376" t="n">
        <x:v>95</x:v>
      </x:c>
      <x:c r="O15" s="376" t="n">
        <x:v>100</x:v>
      </x:c>
      <x:c r="P15" s="376" t="n">
        <x:v>80</x:v>
      </x:c>
      <x:c r="Q15" s="376" t="n">
        <x:v>30</x:v>
      </x:c>
      <x:c r="R15" s="376" t="n">
        <x:v>10</x:v>
      </x:c>
      <x:c r="S15" s="376" t="n">
        <x:v>95</x:v>
      </x:c>
      <x:c r="T15" s="376" t="n">
        <x:v>85</x:v>
      </x:c>
      <x:c r="U15" s="376" t="n">
        <x:v>75</x:v>
      </x:c>
      <x:c r="V15" s="376" t="n">
        <x:v>85</x:v>
      </x:c>
      <x:c r="W15" s="376" t="n">
        <x:v>5.5</x:v>
      </x:c>
      <x:c r="X15" s="376" t="n">
        <x:v>500</x:v>
      </x:c>
      <x:c r="Y15" s="376" t="n">
        <x:v>200</x:v>
      </x:c>
      <x:c r="Z15" s="376" t="n">
        <x:v>3</x:v>
      </x:c>
      <x:c r="AA15" s="376" t="n">
        <x:v>65</x:v>
      </x:c>
      <x:c r="AB15" s="376" t="n">
        <x:v>1500000</x:v>
      </x:c>
      <x:c r="AC15" s="376" t="n">
        <x:v>8000000</x:v>
      </x:c>
      <x:c r="AD15" s="376" t="str">
        <x:v>High-density storage for small items, totes/bins, high SKU count and piece picking.</x:v>
      </x:c>
      <x:c r="AE15" s="376" t="str">
        <x:v>Full-pallet operations, very large items or sites unable to support a grid-based system.</x:v>
      </x:c>
      <x:c r="AF15" s="376" t="str">
        <x:v>Existing screening assumptions; validate with vendor and technical review.</x:v>
      </x:c>
      <x:c r="AG15" s="377" t="str">
        <x:v>2026-07-16</x:v>
      </x:c>
    </x:row>
    <x:row r="16" ht="30" customHeight="1">
      <x:c r="A16" s="287" t="str">
        <x:v>G. Secondary Objective Blend</x:v>
      </x:c>
      <x:c r="B16" s="302" t="n">
        <x:v>30</x:v>
      </x:c>
      <x:c r="C16" s="320" t="str">
        <x:v>%</x:v>
      </x:c>
      <x:c r="D16" s="333" t="str">
        <x:v>Share of the dynamic A-I weightage controlled by the secondary objective.</x:v>
      </x:c>
      <x:c r="F16" s="369" t="str">
        <x:v>TECH002</x:v>
      </x:c>
      <x:c r="G16" s="370" t="str">
        <x:v>Miniload ASRS</x:v>
      </x:c>
      <x:c r="H16" s="370" t="str">
        <x:v>Yes</x:v>
      </x:c>
      <x:c r="I16" s="370" t="str">
        <x:v>Bin</x:v>
      </x:c>
      <x:c r="J16" s="370" t="n">
        <x:v>10</x:v>
      </x:c>
      <x:c r="K16" s="370" t="n">
        <x:v>80</x:v>
      </x:c>
      <x:c r="L16" s="370" t="n">
        <x:v>95</x:v>
      </x:c>
      <x:c r="M16" s="370" t="n">
        <x:v>90</x:v>
      </x:c>
      <x:c r="N16" s="370" t="n">
        <x:v>85</x:v>
      </x:c>
      <x:c r="O16" s="370" t="n">
        <x:v>80</x:v>
      </x:c>
      <x:c r="P16" s="370" t="n">
        <x:v>90</x:v>
      </x:c>
      <x:c r="Q16" s="370" t="n">
        <x:v>35</x:v>
      </x:c>
      <x:c r="R16" s="370" t="n">
        <x:v>10</x:v>
      </x:c>
      <x:c r="S16" s="370" t="n">
        <x:v>95</x:v>
      </x:c>
      <x:c r="T16" s="370" t="n">
        <x:v>80</x:v>
      </x:c>
      <x:c r="U16" s="370" t="n">
        <x:v>60</x:v>
      </x:c>
      <x:c r="V16" s="370" t="n">
        <x:v>75</x:v>
      </x:c>
      <x:c r="W16" s="370" t="n">
        <x:v>8</x:v>
      </x:c>
      <x:c r="X16" s="370" t="n">
        <x:v>750</x:v>
      </x:c>
      <x:c r="Y16" s="370" t="n">
        <x:v>600</x:v>
      </x:c>
      <x:c r="Z16" s="370" t="n">
        <x:v>5</x:v>
      </x:c>
      <x:c r="AA16" s="370" t="n">
        <x:v>75</x:v>
      </x:c>
      <x:c r="AB16" s="370" t="n">
        <x:v>1200000</x:v>
      </x:c>
      <x:c r="AC16" s="370" t="n">
        <x:v>7000000</x:v>
      </x:c>
      <x:c r="AD16" s="370" t="str">
        <x:v>High-volume tote/case storage requiring controlled inventory and strong throughput.</x:v>
      </x:c>
      <x:c r="AE16" s="370" t="str">
        <x:v>Low order-line volume, short lease, low data readiness or very small facilities.</x:v>
      </x:c>
      <x:c r="AF16" s="370" t="str">
        <x:v>Existing screening assumptions; validate with vendor and technical review.</x:v>
      </x:c>
      <x:c r="AG16" s="371" t="str">
        <x:v>2026-07-16</x:v>
      </x:c>
    </x:row>
    <x:row r="17" ht="30" customHeight="1">
      <x:c r="A17" s="287" t="str">
        <x:v>C &amp; E. Pick Mix Share</x:v>
      </x:c>
      <x:c r="B17" s="302" t="n">
        <x:v>40</x:v>
      </x:c>
      <x:c r="C17" s="320" t="str">
        <x:v>%</x:v>
      </x:c>
      <x:c r="D17" s="333" t="str">
        <x:v>Share of the throughput score based on piece/case/pallet picking mix.</x:v>
      </x:c>
      <x:c r="F17" s="378" t="str">
        <x:v>TECH003</x:v>
      </x:c>
      <x:c r="G17" s="379" t="str">
        <x:v>Pallet ASRS</x:v>
      </x:c>
      <x:c r="H17" s="379" t="str">
        <x:v>Yes</x:v>
      </x:c>
      <x:c r="I17" s="379" t="str">
        <x:v>Pallet</x:v>
      </x:c>
      <x:c r="J17" s="379" t="n">
        <x:v>100</x:v>
      </x:c>
      <x:c r="K17" s="379" t="n">
        <x:v>40</x:v>
      </x:c>
      <x:c r="L17" s="379" t="n">
        <x:v>10</x:v>
      </x:c>
      <x:c r="M17" s="379" t="n">
        <x:v>5</x:v>
      </x:c>
      <x:c r="N17" s="379" t="n">
        <x:v>10</x:v>
      </x:c>
      <x:c r="O17" s="379" t="n">
        <x:v>95</x:v>
      </x:c>
      <x:c r="P17" s="379" t="n">
        <x:v>85</x:v>
      </x:c>
      <x:c r="Q17" s="379" t="n">
        <x:v>90</x:v>
      </x:c>
      <x:c r="R17" s="379" t="n">
        <x:v>65</x:v>
      </x:c>
      <x:c r="S17" s="379" t="n">
        <x:v>100</x:v>
      </x:c>
      <x:c r="T17" s="379" t="n">
        <x:v>80</x:v>
      </x:c>
      <x:c r="U17" s="379" t="n">
        <x:v>50</x:v>
      </x:c>
      <x:c r="V17" s="379" t="n">
        <x:v>75</x:v>
      </x:c>
      <x:c r="W17" s="379" t="n">
        <x:v>10</x:v>
      </x:c>
      <x:c r="X17" s="379" t="n">
        <x:v>1500</x:v>
      </x:c>
      <x:c r="Y17" s="379" t="n">
        <x:v>1000</x:v>
      </x:c>
      <x:c r="Z17" s="379" t="n">
        <x:v>5</x:v>
      </x:c>
      <x:c r="AA17" s="379" t="n">
        <x:v>75</x:v>
      </x:c>
      <x:c r="AB17" s="379" t="n">
        <x:v>2500000</x:v>
      </x:c>
      <x:c r="AC17" s="379" t="n">
        <x:v>15000000</x:v>
      </x:c>
      <x:c r="AD17" s="379" t="str">
        <x:v>High pallet inventory, tall buildings, stable pallet flows and long-term facilities.</x:v>
      </x:c>
      <x:c r="AE17" s="379" t="str">
        <x:v>Low clear height, low pallet volume, short lease or piece-pick-heavy operations.</x:v>
      </x:c>
      <x:c r="AF17" s="379" t="str">
        <x:v>Existing screening assumptions; validate with vendor and technical review.</x:v>
      </x:c>
      <x:c r="AG17" s="380" t="str">
        <x:v>2026-07-16</x:v>
      </x:c>
    </x:row>
    <x:row r="18" ht="30" customHeight="1">
      <x:c r="A18" s="287" t="str">
        <x:v>E. Outbound Throughput Share</x:v>
      </x:c>
      <x:c r="B18" s="302" t="n">
        <x:v>20</x:v>
      </x:c>
      <x:c r="C18" s="320" t="str">
        <x:v>%</x:v>
      </x:c>
      <x:c r="D18" s="333" t="str">
        <x:v>Share based on outbound order-line demand versus outbound technology capability.</x:v>
      </x:c>
      <x:c r="F18" s="369" t="str">
        <x:v>TECH004</x:v>
      </x:c>
      <x:c r="G18" s="370" t="str">
        <x:v>4-Way Shuttle</x:v>
      </x:c>
      <x:c r="H18" s="370" t="str">
        <x:v>Yes</x:v>
      </x:c>
      <x:c r="I18" s="370" t="str">
        <x:v>Pallet</x:v>
      </x:c>
      <x:c r="J18" s="370" t="n">
        <x:v>95</x:v>
      </x:c>
      <x:c r="K18" s="370" t="n">
        <x:v>65</x:v>
      </x:c>
      <x:c r="L18" s="370" t="n">
        <x:v>20</x:v>
      </x:c>
      <x:c r="M18" s="370" t="n">
        <x:v>10</x:v>
      </x:c>
      <x:c r="N18" s="370" t="n">
        <x:v>15</x:v>
      </x:c>
      <x:c r="O18" s="370" t="n">
        <x:v>90</x:v>
      </x:c>
      <x:c r="P18" s="370" t="n">
        <x:v>85</x:v>
      </x:c>
      <x:c r="Q18" s="370" t="n">
        <x:v>100</x:v>
      </x:c>
      <x:c r="R18" s="370" t="n">
        <x:v>85</x:v>
      </x:c>
      <x:c r="S18" s="370" t="n">
        <x:v>100</x:v>
      </x:c>
      <x:c r="T18" s="370" t="n">
        <x:v>75</x:v>
      </x:c>
      <x:c r="U18" s="370" t="n">
        <x:v>90</x:v>
      </x:c>
      <x:c r="V18" s="370" t="n">
        <x:v>95</x:v>
      </x:c>
      <x:c r="W18" s="370" t="n">
        <x:v>8</x:v>
      </x:c>
      <x:c r="X18" s="370" t="n">
        <x:v>1000</x:v>
      </x:c>
      <x:c r="Y18" s="370" t="n">
        <x:v>600</x:v>
      </x:c>
      <x:c r="Z18" s="370" t="n">
        <x:v>4</x:v>
      </x:c>
      <x:c r="AA18" s="370" t="n">
        <x:v>70</x:v>
      </x:c>
      <x:c r="AB18" s="370" t="n">
        <x:v>2000000</x:v>
      </x:c>
      <x:c r="AC18" s="370" t="n">
        <x:v>12000000</x:v>
      </x:c>
      <x:c r="AD18" s="370" t="str">
        <x:v>Dense pallet/case storage needing random access, flexibility and future expansion.</x:v>
      </x:c>
      <x:c r="AE18" s="370" t="str">
        <x:v>Low budget, very small facilities or operations with mostly small-item piece picking.</x:v>
      </x:c>
      <x:c r="AF18" s="370" t="str">
        <x:v>Existing screening assumptions; validate with vendor and technical review.</x:v>
      </x:c>
      <x:c r="AG18" s="371" t="str">
        <x:v>2026-07-16</x:v>
      </x:c>
    </x:row>
    <x:row r="19" ht="30" customHeight="1">
      <x:c r="A19" s="287" t="str">
        <x:v>C. Inbound Throughput Share</x:v>
      </x:c>
      <x:c r="B19" s="302" t="n">
        <x:v>20</x:v>
      </x:c>
      <x:c r="C19" s="320" t="str">
        <x:v>%</x:v>
      </x:c>
      <x:c r="D19" s="333" t="str">
        <x:v>Share based on peak inbound pallet flow versus inbound pallet capability.</x:v>
      </x:c>
      <x:c r="F19" s="378" t="str">
        <x:v>TECH005</x:v>
      </x:c>
      <x:c r="G19" s="379" t="str">
        <x:v>AMR Goods-to-Person</x:v>
      </x:c>
      <x:c r="H19" s="379" t="str">
        <x:v>Yes</x:v>
      </x:c>
      <x:c r="I19" s="379" t="str">
        <x:v>Mobile/Bin</x:v>
      </x:c>
      <x:c r="J19" s="379" t="n">
        <x:v>20</x:v>
      </x:c>
      <x:c r="K19" s="379" t="n">
        <x:v>80</x:v>
      </x:c>
      <x:c r="L19" s="379" t="n">
        <x:v>85</x:v>
      </x:c>
      <x:c r="M19" s="379" t="n">
        <x:v>75</x:v>
      </x:c>
      <x:c r="N19" s="379" t="n">
        <x:v>85</x:v>
      </x:c>
      <x:c r="O19" s="379" t="n">
        <x:v>45</x:v>
      </x:c>
      <x:c r="P19" s="379" t="n">
        <x:v>70</x:v>
      </x:c>
      <x:c r="Q19" s="379" t="n">
        <x:v>45</x:v>
      </x:c>
      <x:c r="R19" s="379" t="n">
        <x:v>10</x:v>
      </x:c>
      <x:c r="S19" s="379" t="n">
        <x:v>90</x:v>
      </x:c>
      <x:c r="T19" s="379" t="n">
        <x:v>85</x:v>
      </x:c>
      <x:c r="U19" s="379" t="n">
        <x:v>100</x:v>
      </x:c>
      <x:c r="V19" s="379" t="n">
        <x:v>90</x:v>
      </x:c>
      <x:c r="W19" s="379" t="n">
        <x:v>3</x:v>
      </x:c>
      <x:c r="X19" s="379" t="n">
        <x:v>300</x:v>
      </x:c>
      <x:c r="Y19" s="379" t="n">
        <x:v>300</x:v>
      </x:c>
      <x:c r="Z19" s="379" t="n">
        <x:v>1</x:v>
      </x:c>
      <x:c r="AA19" s="379" t="n">
        <x:v>55</x:v>
      </x:c>
      <x:c r="AB19" s="379" t="n">
        <x:v>350000</x:v>
      </x:c>
      <x:c r="AC19" s="379" t="n">
        <x:v>2500000</x:v>
      </x:c>
      <x:c r="AD19" s="379" t="str">
        <x:v>Flexible phased automation, travel reduction, mixed SKUs and shorter leases.</x:v>
      </x:c>
      <x:c r="AE19" s="379" t="str">
        <x:v>Maximum-density requirements or very high fixed-system throughput.</x:v>
      </x:c>
      <x:c r="AF19" s="379" t="str">
        <x:v>Existing screening assumptions; validate with vendor and technical review.</x:v>
      </x:c>
      <x:c r="AG19" s="380" t="str">
        <x:v>2026-07-16</x:v>
      </x:c>
    </x:row>
    <x:row r="20" ht="30" customHeight="1">
      <x:c r="A20" s="287" t="str">
        <x:v>D. Pallet Storage Pattern Share</x:v>
      </x:c>
      <x:c r="B20" s="302" t="n">
        <x:v>20</x:v>
      </x:c>
      <x:c r="C20" s="320" t="str">
        <x:v>%</x:v>
      </x:c>
      <x:c r="D20" s="333" t="str">
        <x:v>Share based on pallets per SKU: deep-lane concentration versus random-access requirements.</x:v>
      </x:c>
      <x:c r="F20" s="369" t="str">
        <x:v>TECH006</x:v>
      </x:c>
      <x:c r="G20" s="370" t="str">
        <x:v>Pallet Shuttle</x:v>
      </x:c>
      <x:c r="H20" s="370" t="str">
        <x:v>Yes</x:v>
      </x:c>
      <x:c r="I20" s="370" t="str">
        <x:v>Pallet</x:v>
      </x:c>
      <x:c r="J20" s="370" t="n">
        <x:v>100</x:v>
      </x:c>
      <x:c r="K20" s="370" t="n">
        <x:v>35</x:v>
      </x:c>
      <x:c r="L20" s="370" t="n">
        <x:v>5</x:v>
      </x:c>
      <x:c r="M20" s="370" t="n">
        <x:v>5</x:v>
      </x:c>
      <x:c r="N20" s="370" t="n">
        <x:v>5</x:v>
      </x:c>
      <x:c r="O20" s="370" t="n">
        <x:v>90</x:v>
      </x:c>
      <x:c r="P20" s="370" t="n">
        <x:v>70</x:v>
      </x:c>
      <x:c r="Q20" s="370" t="n">
        <x:v>80</x:v>
      </x:c>
      <x:c r="R20" s="370" t="n">
        <x:v>100</x:v>
      </x:c>
      <x:c r="S20" s="370" t="n">
        <x:v>45</x:v>
      </x:c>
      <x:c r="T20" s="370" t="n">
        <x:v>65</x:v>
      </x:c>
      <x:c r="U20" s="370" t="n">
        <x:v>55</x:v>
      </x:c>
      <x:c r="V20" s="370" t="n">
        <x:v>65</x:v>
      </x:c>
      <x:c r="W20" s="370" t="n">
        <x:v>7</x:v>
      </x:c>
      <x:c r="X20" s="370" t="n">
        <x:v>1000</x:v>
      </x:c>
      <x:c r="Y20" s="370" t="n">
        <x:v>500</x:v>
      </x:c>
      <x:c r="Z20" s="370" t="n">
        <x:v>3</x:v>
      </x:c>
      <x:c r="AA20" s="370" t="n">
        <x:v>50</x:v>
      </x:c>
      <x:c r="AB20" s="370" t="n">
        <x:v>800000</x:v>
      </x:c>
      <x:c r="AC20" s="370" t="n">
        <x:v>7000000</x:v>
      </x:c>
      <x:c r="AD20" s="370" t="str">
        <x:v>Dense pallet lane storage with grouped SKUs, batches or velocity classes.</x:v>
      </x:c>
      <x:c r="AE20" s="370" t="str">
        <x:v>Many low-quantity SKUs requiring immediate access to every pallet.</x:v>
      </x:c>
      <x:c r="AF20" s="370" t="str">
        <x:v>Existing screening assumptions; validate with vendor and technical review.</x:v>
      </x:c>
      <x:c r="AG20" s="371" t="str">
        <x:v>2026-07-16</x:v>
      </x:c>
    </x:row>
    <x:row r="21" ht="30" customHeight="1">
      <x:c r="A21" s="287" t="str">
        <x:v>E. High Order Lines Threshold</x:v>
      </x:c>
      <x:c r="B21" s="302" t="n">
        <x:v>10000</x:v>
      </x:c>
      <x:c r="C21" s="320" t="str">
        <x:v>peak lines/day</x:v>
      </x:c>
      <x:c r="D21" s="333" t="str">
        <x:v>Outbound volume treated as a full 100/100 requirement.</x:v>
      </x:c>
      <x:c r="F21" s="378" t="str">
        <x:v>TECH007</x:v>
      </x:c>
      <x:c r="G21" s="379" t="str">
        <x:v>VNA / Autonomous Reach Truck</x:v>
      </x:c>
      <x:c r="H21" s="379" t="str">
        <x:v>Yes</x:v>
      </x:c>
      <x:c r="I21" s="379" t="str">
        <x:v>Pallet</x:v>
      </x:c>
      <x:c r="J21" s="379" t="n">
        <x:v>95</x:v>
      </x:c>
      <x:c r="K21" s="379" t="n">
        <x:v>45</x:v>
      </x:c>
      <x:c r="L21" s="379" t="n">
        <x:v>10</x:v>
      </x:c>
      <x:c r="M21" s="379" t="n">
        <x:v>5</x:v>
      </x:c>
      <x:c r="N21" s="379" t="n">
        <x:v>5</x:v>
      </x:c>
      <x:c r="O21" s="379" t="n">
        <x:v>65</x:v>
      </x:c>
      <x:c r="P21" s="379" t="n">
        <x:v>50</x:v>
      </x:c>
      <x:c r="Q21" s="379" t="n">
        <x:v>65</x:v>
      </x:c>
      <x:c r="R21" s="379" t="n">
        <x:v>35</x:v>
      </x:c>
      <x:c r="S21" s="379" t="n">
        <x:v>100</x:v>
      </x:c>
      <x:c r="T21" s="379" t="n">
        <x:v>50</x:v>
      </x:c>
      <x:c r="U21" s="379" t="n">
        <x:v>75</x:v>
      </x:c>
      <x:c r="V21" s="379" t="n">
        <x:v>50</x:v>
      </x:c>
      <x:c r="W21" s="379" t="n">
        <x:v>6</x:v>
      </x:c>
      <x:c r="X21" s="379" t="n">
        <x:v>500</x:v>
      </x:c>
      <x:c r="Y21" s="379" t="n">
        <x:v>300</x:v>
      </x:c>
      <x:c r="Z21" s="379" t="n">
        <x:v>2</x:v>
      </x:c>
      <x:c r="AA21" s="379" t="n">
        <x:v>45</x:v>
      </x:c>
      <x:c r="AB21" s="379" t="n">
        <x:v>250000</x:v>
      </x:c>
      <x:c r="AC21" s="379" t="n">
        <x:v>1500000</x:v>
      </x:c>
      <x:c r="AD21" s="379" t="str">
        <x:v>Practical pallet-storage improvement with lower budget and existing racking constraints.</x:v>
      </x:c>
      <x:c r="AE21" s="379" t="str">
        <x:v>Need for full automation, maximum density or very high throughput.</x:v>
      </x:c>
      <x:c r="AF21" s="379" t="str">
        <x:v>Existing screening assumptions; validate with vendor and technical review.</x:v>
      </x:c>
      <x:c r="AG21" s="380" t="str">
        <x:v>2026-07-16</x:v>
      </x:c>
    </x:row>
    <x:row r="22" ht="30" customHeight="1">
      <x:c r="A22" s="287" t="str">
        <x:v>C. High Inbound Pallets Threshold</x:v>
      </x:c>
      <x:c r="B22" s="302" t="n">
        <x:v>1200</x:v>
      </x:c>
      <x:c r="C22" s="320" t="str">
        <x:v>peak pallets/day</x:v>
      </x:c>
      <x:c r="D22" s="333" t="str">
        <x:v>Peak inbound pallet volume treated as a full 100/100 requirement.</x:v>
      </x:c>
      <x:c r="F22" s="369" t="str">
        <x:v>TECH008</x:v>
      </x:c>
      <x:c r="G22" s="370" t="str">
        <x:v>Vertical Lift Module</x:v>
      </x:c>
      <x:c r="H22" s="370" t="str">
        <x:v>Yes</x:v>
      </x:c>
      <x:c r="I22" s="370" t="str">
        <x:v>Bin</x:v>
      </x:c>
      <x:c r="J22" s="370" t="n">
        <x:v>5</x:v>
      </x:c>
      <x:c r="K22" s="370" t="n">
        <x:v>45</x:v>
      </x:c>
      <x:c r="L22" s="370" t="n">
        <x:v>80</x:v>
      </x:c>
      <x:c r="M22" s="370" t="n">
        <x:v>100</x:v>
      </x:c>
      <x:c r="N22" s="370" t="n">
        <x:v>85</x:v>
      </x:c>
      <x:c r="O22" s="370" t="n">
        <x:v>85</x:v>
      </x:c>
      <x:c r="P22" s="370" t="n">
        <x:v>45</x:v>
      </x:c>
      <x:c r="Q22" s="370" t="n">
        <x:v>15</x:v>
      </x:c>
      <x:c r="R22" s="370" t="n">
        <x:v>5</x:v>
      </x:c>
      <x:c r="S22" s="370" t="n">
        <x:v>95</x:v>
      </x:c>
      <x:c r="T22" s="370" t="n">
        <x:v>70</x:v>
      </x:c>
      <x:c r="U22" s="370" t="n">
        <x:v>55</x:v>
      </x:c>
      <x:c r="V22" s="370" t="n">
        <x:v>45</x:v>
      </x:c>
      <x:c r="W22" s="370" t="n">
        <x:v>4</x:v>
      </x:c>
      <x:c r="X22" s="370" t="n">
        <x:v>500</x:v>
      </x:c>
      <x:c r="Y22" s="370" t="n">
        <x:v>80</x:v>
      </x:c>
      <x:c r="Z22" s="370" t="n">
        <x:v>2</x:v>
      </x:c>
      <x:c r="AA22" s="370" t="n">
        <x:v>50</x:v>
      </x:c>
      <x:c r="AB22" s="370" t="n">
        <x:v>250000</x:v>
      </x:c>
      <x:c r="AC22" s="370" t="n">
        <x:v>1200000</x:v>
      </x:c>
      <x:c r="AD22" s="370" t="str">
        <x:v>Small parts, spare parts and many SKUs with compact storage and moderate throughput.</x:v>
      </x:c>
      <x:c r="AE22" s="370" t="str">
        <x:v>Very high e-commerce throughput, large cartons or full-pallet handling.</x:v>
      </x:c>
      <x:c r="AF22" s="370" t="str">
        <x:v>Existing screening assumptions; validate with vendor and technical review.</x:v>
      </x:c>
      <x:c r="AG22" s="371" t="str">
        <x:v>2026-07-16</x:v>
      </x:c>
    </x:row>
    <x:row r="23" ht="30" customHeight="1">
      <x:c r="A23" s="287" t="str">
        <x:v>C &amp; E. Minimum Throughput Need</x:v>
      </x:c>
      <x:c r="B23" s="302" t="n">
        <x:v>10</x:v>
      </x:c>
      <x:c r="C23" s="320" t="str">
        <x:v>score</x:v>
      </x:c>
      <x:c r="D23" s="333" t="str">
        <x:v>Minimum outbound/inbound requirement when volume is very low.</x:v>
      </x:c>
      <x:c r="F23" s="378" t="str">
        <x:v>TECH009</x:v>
      </x:c>
      <x:c r="G23" s="379" t="str">
        <x:v>Tote Bin-to-Person Robotics</x:v>
      </x:c>
      <x:c r="H23" s="379" t="str">
        <x:v>Yes</x:v>
      </x:c>
      <x:c r="I23" s="379" t="str">
        <x:v>Bin</x:v>
      </x:c>
      <x:c r="J23" s="379" t="n">
        <x:v>10</x:v>
      </x:c>
      <x:c r="K23" s="379" t="n">
        <x:v>80</x:v>
      </x:c>
      <x:c r="L23" s="379" t="n">
        <x:v>100</x:v>
      </x:c>
      <x:c r="M23" s="379" t="n">
        <x:v>90</x:v>
      </x:c>
      <x:c r="N23" s="379" t="n">
        <x:v>100</x:v>
      </x:c>
      <x:c r="O23" s="379" t="n">
        <x:v>75</x:v>
      </x:c>
      <x:c r="P23" s="379" t="n">
        <x:v>100</x:v>
      </x:c>
      <x:c r="Q23" s="379" t="n">
        <x:v>40</x:v>
      </x:c>
      <x:c r="R23" s="379" t="n">
        <x:v>10</x:v>
      </x:c>
      <x:c r="S23" s="379" t="n">
        <x:v>100</x:v>
      </x:c>
      <x:c r="T23" s="379" t="n">
        <x:v>90</x:v>
      </x:c>
      <x:c r="U23" s="379" t="n">
        <x:v>90</x:v>
      </x:c>
      <x:c r="V23" s="379" t="n">
        <x:v>100</x:v>
      </x:c>
      <x:c r="W23" s="379" t="n">
        <x:v>5.5</x:v>
      </x:c>
      <x:c r="X23" s="379" t="n">
        <x:v>500</x:v>
      </x:c>
      <x:c r="Y23" s="379" t="n">
        <x:v>300</x:v>
      </x:c>
      <x:c r="Z23" s="379" t="n">
        <x:v>3</x:v>
      </x:c>
      <x:c r="AA23" s="379" t="n">
        <x:v>70</x:v>
      </x:c>
      <x:c r="AB23" s="379" t="n">
        <x:v>1200000</x:v>
      </x:c>
      <x:c r="AC23" s="379" t="n">
        <x:v>6000000</x:v>
      </x:c>
      <x:c r="AD23" s="379" t="str">
        <x:v>High-throughput tote/bin goods-to-person picking with changing SKU mix.</x:v>
      </x:c>
      <x:c r="AE23" s="379" t="str">
        <x:v>Mostly full-pallet operations or weak WMS/data readiness.</x:v>
      </x:c>
      <x:c r="AF23" s="379" t="str">
        <x:v>Existing screening assumptions; validate with vendor and technical review.</x:v>
      </x:c>
      <x:c r="AG23" s="380" t="str">
        <x:v>2026-07-16</x:v>
      </x:c>
    </x:row>
    <x:row r="24" ht="30" customHeight="1">
      <x:c r="A24" s="287" t="str">
        <x:v>D. Pallets per SKU Deep-Lane Threshold</x:v>
      </x:c>
      <x:c r="B24" s="302" t="n">
        <x:v>12</x:v>
      </x:c>
      <x:c r="C24" s="320" t="str">
        <x:v>pallets/SKU</x:v>
      </x:c>
      <x:c r="D24" s="333" t="str">
        <x:v>At or above this value, deep-lane suitability receives maximum importance.</x:v>
      </x:c>
      <x:c r="F24" s="372" t="str">
        <x:v>TECH010</x:v>
      </x:c>
      <x:c r="G24" s="373" t="str">
        <x:v>Sorting Robotics / airRob</x:v>
      </x:c>
      <x:c r="H24" s="373" t="str">
        <x:v>Yes</x:v>
      </x:c>
      <x:c r="I24" s="373" t="str">
        <x:v>Bin</x:v>
      </x:c>
      <x:c r="J24" s="373" t="n">
        <x:v>5</x:v>
      </x:c>
      <x:c r="K24" s="373" t="n">
        <x:v>70</x:v>
      </x:c>
      <x:c r="L24" s="373" t="n">
        <x:v>95</x:v>
      </x:c>
      <x:c r="M24" s="373" t="n">
        <x:v>95</x:v>
      </x:c>
      <x:c r="N24" s="373" t="n">
        <x:v>95</x:v>
      </x:c>
      <x:c r="O24" s="373" t="n">
        <x:v>65</x:v>
      </x:c>
      <x:c r="P24" s="373" t="n">
        <x:v>85</x:v>
      </x:c>
      <x:c r="Q24" s="373" t="n">
        <x:v>30</x:v>
      </x:c>
      <x:c r="R24" s="373" t="n">
        <x:v>5</x:v>
      </x:c>
      <x:c r="S24" s="373" t="n">
        <x:v>90</x:v>
      </x:c>
      <x:c r="T24" s="373" t="n">
        <x:v>85</x:v>
      </x:c>
      <x:c r="U24" s="373" t="n">
        <x:v>85</x:v>
      </x:c>
      <x:c r="V24" s="373" t="n">
        <x:v>85</x:v>
      </x:c>
      <x:c r="W24" s="373" t="n">
        <x:v>5</x:v>
      </x:c>
      <x:c r="X24" s="373" t="n">
        <x:v>500</x:v>
      </x:c>
      <x:c r="Y24" s="373" t="n">
        <x:v>200</x:v>
      </x:c>
      <x:c r="Z24" s="373" t="n">
        <x:v>3</x:v>
      </x:c>
      <x:c r="AA24" s="373" t="n">
        <x:v>65</x:v>
      </x:c>
      <x:c r="AB24" s="373" t="n">
        <x:v>1000000</x:v>
      </x:c>
      <x:c r="AC24" s="373" t="n">
        <x:v>4000000</x:v>
      </x:c>
      <x:c r="AD24" s="373" t="str">
        <x:v>Small-item robotic picking and sorting with high piece-pick share.</x:v>
      </x:c>
      <x:c r="AE24" s="373" t="str">
        <x:v>Large cartons, full-pallet storage or maximum fixed-system throughput.</x:v>
      </x:c>
      <x:c r="AF24" s="373" t="str">
        <x:v>Existing screening assumptions; validate with vendor and technical review.</x:v>
      </x:c>
      <x:c r="AG24" s="374" t="str">
        <x:v>2026-07-16</x:v>
      </x:c>
    </x:row>
    <x:row r="25" ht="30" customHeight="1">
      <x:c r="A25" s="287" t="str">
        <x:v>B &amp; I. Low Data Readiness Cap</x:v>
      </x:c>
      <x:c r="B25" s="302" t="n">
        <x:v>60</x:v>
      </x:c>
      <x:c r="C25" s="320" t="str">
        <x:v>final score</x:v>
      </x:c>
      <x:c r="D25" s="333" t="str">
        <x:v>Maximum final score when client data readiness is below the technology requirement.</x:v>
      </x:c>
    </x:row>
    <x:row r="26" ht="30" customHeight="1">
      <x:c r="A26" s="288" t="str">
        <x:v>A. Critical Requirement Ratio</x:v>
      </x:c>
      <x:c r="B26" s="303" t="n">
        <x:v>50</x:v>
      </x:c>
      <x:c r="C26" s="321" t="str">
        <x:v>%</x:v>
      </x:c>
      <x:c r="D26" s="334" t="str">
        <x:v>If a building input is below this percentage of the technology requirement, apply the critical cap.</x:v>
      </x:c>
    </x:row>
    <x:row r="27" ht="30" customHeight="1">
      <x:c r="A27" s="287" t="str">
        <x:v>A. Critical Requirement Cap</x:v>
      </x:c>
      <x:c r="B27" s="306" t="n">
        <x:v>45</x:v>
      </x:c>
      <x:c r="C27" s="324" t="str">
        <x:v>final score</x:v>
      </x:c>
      <x:c r="D27" s="339" t="str">
        <x:v>Maximum final score when a critical building requirement is severely missed.</x:v>
      </x:c>
    </x:row>
    <x:row r="28" ht="30" customHeight="1">
      <x:c r="A28" s="287" t="str">
        <x:v>A. Minimum General Budget</x:v>
      </x:c>
      <x:c r="B28" s="306" t="n">
        <x:v>1000</x:v>
      </x:c>
      <x:c r="C28" s="324" t="str">
        <x:v>SGD</x:v>
      </x:c>
      <x:c r="D28" s="339" t="str">
        <x:v>Below this budget, automation is treated as not feasible.</x:v>
      </x:c>
    </x:row>
    <x:row r="29" ht="30" customHeight="1">
      <x:c r="A29" s="287" t="str">
        <x:v>A. Minimum General Area</x:v>
      </x:c>
      <x:c r="B29" s="306" t="n">
        <x:v>50</x:v>
      </x:c>
      <x:c r="C29" s="324" t="str">
        <x:v>sqm</x:v>
      </x:c>
      <x:c r="D29" s="339" t="str">
        <x:v>Below this usable area, automation is treated as not feasible.</x:v>
      </x:c>
    </x:row>
    <x:row r="30" ht="30" customHeight="1">
      <x:c r="A30" s="287" t="str">
        <x:v>C &amp; D. Inventory Flow Warning Ratio</x:v>
      </x:c>
      <x:c r="B30" s="306" t="n">
        <x:v>2.5</x:v>
      </x:c>
      <x:c r="C30" s="324" t="str">
        <x:v>ratio</x:v>
      </x:c>
      <x:c r="D30" s="339" t="str">
        <x:v>Warn when inbound pallets × inventory days differs too greatly from reported peak pallet inventory.</x:v>
      </x:c>
    </x:row>
    <x:row r="31" ht="30" customHeight="1">
      <x:c r="A31" s="287" t="str">
        <x:v>A-I. Maximum Percentage Input</x:v>
      </x:c>
      <x:c r="B31" s="306" t="n">
        <x:v>100</x:v>
      </x:c>
      <x:c r="C31" s="324" t="str">
        <x:v>%</x:v>
      </x:c>
      <x:c r="D31" s="339" t="str">
        <x:v>Maximum permitted value for percentage fields in the customer template.</x:v>
      </x:c>
    </x:row>
    <x:row r="32" ht="30" customHeight="1">
      <x:c r="A32" s="293" t="str">
        <x:v>D &amp; E. Share Total Tolerance</x:v>
      </x:c>
      <x:c r="B32" s="307" t="n">
        <x:v>1</x:v>
      </x:c>
      <x:c r="C32" s="325" t="str">
        <x:v>percentage point</x:v>
      </x:c>
      <x:c r="D32" s="340" t="str">
        <x:v>Allowed difference from 100% for product-share and pick-share totals.</x:v>
      </x:c>
    </x:row>
  </x:sheetData>
  <x:mergeCells>
    <x:mergeCell ref="A1:AG1"/>
    <x:mergeCell ref="A2:AG2"/>
    <x:mergeCell ref="A3:J3"/>
    <x:mergeCell ref="A12:J12"/>
  </x:mergeCells>
  <x:conditionalFormatting sqref="J4:V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11">
    <x:cfRule type="expression" dxfId="0" priority="2">
      <x:formula>J5&lt;&gt;100</x:formula>
    </x:cfRule>
    <x:cfRule type="expression" dxfId="1" priority="3">
      <x:formula>J5=100</x:formula>
    </x:cfRule>
  </x:conditionalFormatting>
  <x:dataValidations count="20">
    <x:dataValidation type="list" sqref="H4:H200">
      <x:formula1>"Yes,No"</x:formula1>
    </x:dataValidation>
    <x:dataValidation type="decimal" operator="between" sqref="B5:I11">
      <x:formula1>0</x:formula1>
      <x:formula2>100</x:formula2>
    </x:dataValidation>
    <x:dataValidation type="decimal" operator="between" sqref="B15">
      <x:formula1>0</x:formula1>
      <x:formula2>100</x:formula2>
    </x:dataValidation>
    <x:dataValidation type="decimal" operator="between" sqref="B16">
      <x:formula1>0</x:formula1>
      <x:formula2>100</x:formula2>
    </x:dataValidation>
    <x:dataValidation type="decimal" operator="between" sqref="B17">
      <x:formula1>0</x:formula1>
      <x:formula2>100</x:formula2>
    </x:dataValidation>
    <x:dataValidation type="decimal" operator="between" sqref="B18">
      <x:formula1>0</x:formula1>
      <x:formula2>100</x:formula2>
    </x:dataValidation>
    <x:dataValidation type="decimal" operator="between" sqref="B19">
      <x:formula1>0</x:formula1>
      <x:formula2>100</x:formula2>
    </x:dataValidation>
    <x:dataValidation type="decimal" operator="between" sqref="B20">
      <x:formula1>0</x:formula1>
      <x:formula2>100</x:formula2>
    </x:dataValidation>
    <x:dataValidation type="decimal" operator="between" sqref="B26">
      <x:formula1>0</x:formula1>
      <x:formula2>100</x:formula2>
    </x:dataValidation>
    <x:dataValidation type="decimal" operator="between" sqref="B31">
      <x:formula1>0</x:formula1>
      <x:formula2>100</x:formula2>
    </x:dataValidation>
    <x:dataValidation type="decimal" sqref="B21">
      <x:formula1>0</x:formula1>
    </x:dataValidation>
    <x:dataValidation type="decimal" sqref="B22">
      <x:formula1>0</x:formula1>
    </x:dataValidation>
    <x:dataValidation type="decimal" sqref="B23">
      <x:formula1>0</x:formula1>
    </x:dataValidation>
    <x:dataValidation type="decimal" sqref="B24">
      <x:formula1>0</x:formula1>
    </x:dataValidation>
    <x:dataValidation type="decimal" sqref="B25">
      <x:formula1>0</x:formula1>
    </x:dataValidation>
    <x:dataValidation type="decimal" sqref="B27">
      <x:formula1>0</x:formula1>
    </x:dataValidation>
    <x:dataValidation type="decimal" sqref="B28">
      <x:formula1>0</x:formula1>
    </x:dataValidation>
    <x:dataValidation type="decimal" sqref="B29">
      <x:formula1>0</x:formula1>
    </x:dataValidation>
    <x:dataValidation type="decimal" sqref="B30">
      <x:formula1>0</x:formula1>
    </x:dataValidation>
    <x:dataValidation type="decimal" sqref="B32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8dca62896224291"/>
    <x:tablePart xmlns:r="http://schemas.openxmlformats.org/officeDocument/2006/relationships" r:id="R562162b9356c485b"/>
  </x:tableParts>
</x:worksheet>
</file>