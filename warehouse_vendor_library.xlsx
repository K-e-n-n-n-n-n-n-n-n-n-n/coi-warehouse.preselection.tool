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4020078\Downloads\"/>
    </mc:Choice>
  </mc:AlternateContent>
  <xr:revisionPtr revIDLastSave="0" documentId="13_ncr:1_{36DB79C9-C107-4CEA-9B38-D57FD9092FD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Vendor Library" sheetId="1" r:id="rId1"/>
    <sheet name="Technology Performance Datab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J16" i="2"/>
  <c r="J15" i="2"/>
  <c r="J14" i="2"/>
  <c r="J13" i="2"/>
  <c r="J12" i="2"/>
  <c r="J11" i="2"/>
</calcChain>
</file>

<file path=xl/sharedStrings.xml><?xml version="1.0" encoding="utf-8"?>
<sst xmlns="http://schemas.openxmlformats.org/spreadsheetml/2006/main" count="258" uniqueCount="186">
  <si>
    <t>Vendor Library</t>
  </si>
  <si>
    <t>Vendor catalogue for early-stage technology screening. Vendor ID identifies the vendor and repeats when the same vendor offers multiple Technology IDs. Sheet 2 controls the calculation logic used by the HTML.</t>
  </si>
  <si>
    <t>Vendor Name</t>
  </si>
  <si>
    <t>Website</t>
  </si>
  <si>
    <t>Vendor ID</t>
  </si>
  <si>
    <t>Technology ID</t>
  </si>
  <si>
    <t>Technology Name</t>
  </si>
  <si>
    <t>Vendor Minimum Budget</t>
  </si>
  <si>
    <t>Daifuku</t>
  </si>
  <si>
    <t>https://www.daifuku.com/</t>
  </si>
  <si>
    <t>VEND001</t>
  </si>
  <si>
    <t>TECH003</t>
  </si>
  <si>
    <t>Pallet ASRS</t>
  </si>
  <si>
    <t>Dematic</t>
  </si>
  <si>
    <t>https://www.dematic.com/</t>
  </si>
  <si>
    <t>VEND002</t>
  </si>
  <si>
    <t>SSI Schaefer</t>
  </si>
  <si>
    <t>https://www.ssi-schaefer.com/en-asia</t>
  </si>
  <si>
    <t>VEND003</t>
  </si>
  <si>
    <t>TECH006</t>
  </si>
  <si>
    <t>Pallet Shuttle</t>
  </si>
  <si>
    <t>HWA Robotics</t>
  </si>
  <si>
    <t>https://www.hwarobotics.com/</t>
  </si>
  <si>
    <t>VEND004</t>
  </si>
  <si>
    <t>TECH004</t>
  </si>
  <si>
    <t>4-Way Shuttle</t>
  </si>
  <si>
    <t>Jungheinrich</t>
  </si>
  <si>
    <t>https://www.jungheinrich.com/</t>
  </si>
  <si>
    <t>VEND005</t>
  </si>
  <si>
    <t>TECH007</t>
  </si>
  <si>
    <t>VNA / Autonomous Reach Truck</t>
  </si>
  <si>
    <t>Kardex</t>
  </si>
  <si>
    <t>https://www.kardex.com/</t>
  </si>
  <si>
    <t>VEND006</t>
  </si>
  <si>
    <t>TECH008</t>
  </si>
  <si>
    <t>Vertical Lift Module</t>
  </si>
  <si>
    <t>Modula</t>
  </si>
  <si>
    <t>https://www.modula.eu/</t>
  </si>
  <si>
    <t>VEND007</t>
  </si>
  <si>
    <t>TECH002</t>
  </si>
  <si>
    <t>Miniload ASRS</t>
  </si>
  <si>
    <t>AutoStore</t>
  </si>
  <si>
    <t>https://www.autostoresystem.com/</t>
  </si>
  <si>
    <t>VEND008</t>
  </si>
  <si>
    <t>TECH001</t>
  </si>
  <si>
    <t>Cube Storage System</t>
  </si>
  <si>
    <t>Hai Robotics</t>
  </si>
  <si>
    <t>https://www.hairobotics.com/</t>
  </si>
  <si>
    <t>VEND009</t>
  </si>
  <si>
    <t>TECH009</t>
  </si>
  <si>
    <t>Tote Bin-to-Person Robotics</t>
  </si>
  <si>
    <t>Libiao Robotics</t>
  </si>
  <si>
    <t>https://www.libiaorobot.com/</t>
  </si>
  <si>
    <t>VEND010</t>
  </si>
  <si>
    <t>TECH010</t>
  </si>
  <si>
    <t>Rack-Based Tote Handling System (AirRob-type)</t>
  </si>
  <si>
    <t>Geek+</t>
  </si>
  <si>
    <t>https://www.geekplus.com/</t>
  </si>
  <si>
    <t>VEND011</t>
  </si>
  <si>
    <t>TECH005</t>
  </si>
  <si>
    <t>AMR Goods-to-Person</t>
  </si>
  <si>
    <t>Quicktron</t>
  </si>
  <si>
    <t>https://www.quicktron.com/</t>
  </si>
  <si>
    <t>VEND012</t>
  </si>
  <si>
    <t>Technology Scoring Model and Technology Ratings</t>
  </si>
  <si>
    <t>This sheet has two controls only: (1) the objective matrix determines category weightage, and (2) the technology table provides 1–5 capability ratings and indicative feasibility requirements. Final designs still require vendor simulation and engineering validation.</t>
  </si>
  <si>
    <t>G. Primary and Secondary Objective Blend</t>
  </si>
  <si>
    <t>Objective Blend Setting</t>
  </si>
  <si>
    <t>Value</t>
  </si>
  <si>
    <t>Unit</t>
  </si>
  <si>
    <t>Meaning</t>
  </si>
  <si>
    <t>G. Primary Objective Blend</t>
  </si>
  <si>
    <t>%</t>
  </si>
  <si>
    <t>The selected primary objective contributes 70% of the final category weightage.</t>
  </si>
  <si>
    <t>G. Secondary Objective Blend</t>
  </si>
  <si>
    <t>The selected secondary objective contributes 30% of the final category weightage.</t>
  </si>
  <si>
    <t>Dynamic Objective Weightage Matrix — category points out of 100</t>
  </si>
  <si>
    <t>Business Objective</t>
  </si>
  <si>
    <t>A. Building</t>
  </si>
  <si>
    <t>B &amp; I. Data Readiness</t>
  </si>
  <si>
    <t>C &amp; E. Throughput</t>
  </si>
  <si>
    <t>D. Density</t>
  </si>
  <si>
    <t>D &amp; E. Product Fit</t>
  </si>
  <si>
    <t>F. Labour</t>
  </si>
  <si>
    <t>H. Scalability</t>
  </si>
  <si>
    <t>A. Budget</t>
  </si>
  <si>
    <t>Total</t>
  </si>
  <si>
    <t>D. Maximise storage density</t>
  </si>
  <si>
    <t>E. Increase throughput</t>
  </si>
  <si>
    <t>F. Reduce labour</t>
  </si>
  <si>
    <t>E. Improve picking accuracy</t>
  </si>
  <si>
    <t>A. Improve site fit / ergonomics</t>
  </si>
  <si>
    <t>H. Improve scalability</t>
  </si>
  <si>
    <t>A. Reduce cost</t>
  </si>
  <si>
    <t>Final category weight = 70% of the selected primary-objective row + 30% of the selected secondary-objective row. If both objectives are the same, that row contributes 100%.</t>
  </si>
  <si>
    <t>Technology Capability Rating Scale</t>
  </si>
  <si>
    <t>Rating</t>
  </si>
  <si>
    <t>Label</t>
  </si>
  <si>
    <t>Very Low</t>
  </si>
  <si>
    <t>Not intended for this requirement or a strong mismatch.</t>
  </si>
  <si>
    <t>Low</t>
  </si>
  <si>
    <t>Limited capability; suitable only in narrow or low-volume cases.</t>
  </si>
  <si>
    <t>Moderate</t>
  </si>
  <si>
    <t>Workable capability for typical applications.</t>
  </si>
  <si>
    <t>High</t>
  </si>
  <si>
    <t>Strong capability and a common application strength.</t>
  </si>
  <si>
    <t>Very High</t>
  </si>
  <si>
    <t>Core technology strength or among the strongest options in the shortlist.</t>
  </si>
  <si>
    <t>Technology Capability and Feasibility Database</t>
  </si>
  <si>
    <t>Enabled</t>
  </si>
  <si>
    <t>Family</t>
  </si>
  <si>
    <t>Pallet Fit</t>
  </si>
  <si>
    <t>Carton Fit</t>
  </si>
  <si>
    <t>Tote/Bin Fit</t>
  </si>
  <si>
    <t>Small Item Fit</t>
  </si>
  <si>
    <t>Piece Pick Fit</t>
  </si>
  <si>
    <t>Density Capability</t>
  </si>
  <si>
    <t>Outbound Throughput Capability</t>
  </si>
  <si>
    <t>Inbound Pallet Capability</t>
  </si>
  <si>
    <t>Deep-Lane Suitability</t>
  </si>
  <si>
    <t>Random Access Capability</t>
  </si>
  <si>
    <t>Labour Saving Capability</t>
  </si>
  <si>
    <t>Flexibility</t>
  </si>
  <si>
    <t>Scalability</t>
  </si>
  <si>
    <t>Indicative Minimum Height</t>
  </si>
  <si>
    <t>Indicative Minimum Floor Load</t>
  </si>
  <si>
    <t>Indicative Minimum Floor Area</t>
  </si>
  <si>
    <t>Indicative Minimum Lease Years</t>
  </si>
  <si>
    <t>Minimum Data Readiness</t>
  </si>
  <si>
    <t>Technology Budget Min</t>
  </si>
  <si>
    <t>Technology Budget Max</t>
  </si>
  <si>
    <t>Best Fit</t>
  </si>
  <si>
    <t>Less Suitable When</t>
  </si>
  <si>
    <t>Why This Outbound Throughput Rating</t>
  </si>
  <si>
    <t>Reference Source</t>
  </si>
  <si>
    <t>Last Updated</t>
  </si>
  <si>
    <t>Yes</t>
  </si>
  <si>
    <t>Bin</t>
  </si>
  <si>
    <t>High-density tote/bin storage, high SKU count and goods-to-person piece picking.</t>
  </si>
  <si>
    <t>Full-pallet operations, oversized items or facilities unable to support a grid structure.</t>
  </si>
  <si>
    <t>Very High (5/5). AutoStore workstations handle up to 650 bins/hour per port, and system throughput scales by adding ports.</t>
  </si>
  <si>
    <t>https://www.autostoresystem.com/system/workstations/relay-port</t>
  </si>
  <si>
    <t>2026-07-23</t>
  </si>
  <si>
    <t>High-volume tote, tray or case storage requiring controlled inventory and fast retrieval.</t>
  </si>
  <si>
    <t>Very small facilities, low volume, short lease or weak system/data readiness.</t>
  </si>
  <si>
    <t>High (4/5). Fixed-aisle miniload cranes are designed for fast, high-volume container and case retrieval; capacity scales by aisle and crane count.</t>
  </si>
  <si>
    <t>https://www.daifuku.com/solution/intralogistics/products/automated-warehouse/miniload-asrs/</t>
  </si>
  <si>
    <t>Pallet</t>
  </si>
  <si>
    <t>High pallet inventory, tall buildings, stable pallet flows and long-term facilities.</t>
  </si>
  <si>
    <t>Low pallet volume, short lease, low clear height or piece-pick-heavy operations.</t>
  </si>
  <si>
    <t>Moderate (3/5) for outbound order fulfilment. It provides strong pallet storage and retrieval but moves pallets rather than individual order lines.</t>
  </si>
  <si>
    <t>https://www.daifuku.com/solution/intralogistics/products/automated-warehouse/types-features/</t>
  </si>
  <si>
    <t>Dense pallet storage requiring random access, flexible routing and future expansion.</t>
  </si>
  <si>
    <t>Very low budget, very small facilities or operations dominated by small-item piece picking.</t>
  </si>
  <si>
    <t>High (4/5) for pallet flow. Multiple shuttles and lifts provide scalable storage and retrieval, but it is not a direct piece-picking system.</t>
  </si>
  <si>
    <t>https://www.ssi-schaefer.com/en-asia/products/storage/automated-storage/automated-storage-systems-for-pallets/ssi-pallet-roaming-shuttle</t>
  </si>
  <si>
    <t>Mobile/Bin</t>
  </si>
  <si>
    <t>Flexible phased automation, travel reduction, mixed SKUs and shorter leases.</t>
  </si>
  <si>
    <t>Maximum-density requirements or the highest fixed-system throughput requirements.</t>
  </si>
  <si>
    <t>High (4/5). Goods-to-person AMRs commonly improve picking productivity two to three times, while peak capacity depends on robot and workstation count.</t>
  </si>
  <si>
    <t>https://www.geekplus.com/resources/product-brochures/pickingflyer-1</t>
  </si>
  <si>
    <t>Dense multi-deep pallet lanes with grouped SKUs, batches or velocity classes.</t>
  </si>
  <si>
    <t>Many low-quantity SKUs requiring immediate direct access to every pallet.</t>
  </si>
  <si>
    <t>Moderate (3/5). It supports efficient high-density pallet movement, but lane structure limits immediate random access compared with dedicated cranes or 4-way systems.</t>
  </si>
  <si>
    <t>https://www.ssi-schaefer.com/en-asia/solutions/by-intralogistic-strategy/cold-chain-storage</t>
  </si>
  <si>
    <t>Practical pallet-storage automation using narrow aisles and existing-style racking.</t>
  </si>
  <si>
    <t>Need for maximum density, maximum throughput or highly integrated fixed automation.</t>
  </si>
  <si>
    <t>Low (2/5) relative to dedicated ASRS. Automated VNA trucks provide flexible pallet storage and retrieval but fewer simultaneous movements.</t>
  </si>
  <si>
    <t>https://www.jungheinrich.com/en/newsroom/press-releases/automated-warehouse-with-new-contour-control-513516</t>
  </si>
  <si>
    <t>Small parts, tools and spare parts requiring compact storage and ergonomic access.</t>
  </si>
  <si>
    <t>Very high e-commerce throughput, large cartons or full-pallet handling.</t>
  </si>
  <si>
    <t>Low (2/5) relative to large GTP systems. VLMs can reach roughly 350 items/hour depending on configuration, but each unit is workstation-limited.</t>
  </si>
  <si>
    <t>https://www.kardex.com/en-us/blog/vertical-lift-modules-vs-vertical-carousels</t>
  </si>
  <si>
    <t>High-throughput tote/bin goods-to-person picking with changing SKU mix.</t>
  </si>
  <si>
    <t>Mostly full-pallet operations or weak WMS, master-data and inventory readiness.</t>
  </si>
  <si>
    <t>Very High (5/5). HaiPick deployments report about 700–1,500+ totes/hour, with larger systems designed for up to 4,000 totes/hour.</t>
  </si>
  <si>
    <t>https://www.hairobotics.com/solutions/haipick-climb</t>
  </si>
  <si>
    <t>High-density rack-based tote storage, retrieval and goods-to-person picking.</t>
  </si>
  <si>
    <t>Full-pallet operations, oversized items or applications needing the highest verified fixed-system throughput.</t>
  </si>
  <si>
    <t>High (4/5). AirRob is positioned for high-flow tote storage, retrieval and efficient picking, but a comparable verified maximum throughput was not published.</t>
  </si>
  <si>
    <t>https://libiaorobot.com/en/product/airrob</t>
  </si>
  <si>
    <t>Magic tech</t>
  </si>
  <si>
    <t>VEND013</t>
  </si>
  <si>
    <t>Magic Tech</t>
  </si>
  <si>
    <t>TECH011</t>
  </si>
  <si>
    <t>2026-07-24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</si>
</sst>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GD &quot;#,##0"/>
    <numFmt numFmtId="165" formatCode="0.0"/>
    <numFmt numFmtId="166" formatCode="yyyy\-mm\-dd"/>
  </numFmts>
  <fonts count="15">
    <font>
      <sz val="11"/>
      <name val="Carlito"/>
    </font>
    <font>
      <b/>
      <sz val="16"/>
      <color rgb="FFFFFFFF"/>
      <name val="Carlito"/>
    </font>
    <font>
      <b/>
      <sz val="10"/>
      <color rgb="FF7C2D12"/>
      <name val="Carlito"/>
    </font>
    <font>
      <b/>
      <sz val="10"/>
      <color rgb="FFFFFFFF"/>
      <name val="Carlito"/>
    </font>
    <font>
      <sz val="10"/>
      <color rgb="FF17324D"/>
      <name val="Carlito"/>
    </font>
    <font>
      <b/>
      <sz val="12"/>
      <color rgb="FFFFFFFF"/>
      <name val="Carlito"/>
    </font>
    <font>
      <sz val="11"/>
      <color rgb="FF17324D"/>
      <name val="Carlito"/>
    </font>
    <font>
      <b/>
      <sz val="11"/>
      <color rgb="FF9A3412"/>
      <name val="Carlito"/>
    </font>
    <font>
      <b/>
      <sz val="11"/>
      <color rgb="FF17324D"/>
      <name val="Carlito"/>
    </font>
    <font>
      <b/>
      <sz val="11"/>
      <color rgb="FF166534"/>
      <name val="Carlito"/>
    </font>
    <font>
      <i/>
      <sz val="10"/>
      <color rgb="FF17324D"/>
      <name val="Carlito"/>
    </font>
    <font>
      <b/>
      <sz val="11"/>
      <color rgb="FFFFFFFF"/>
      <name val="Carlito"/>
    </font>
    <font>
      <b/>
      <sz val="9"/>
      <color rgb="FFFFFFFF"/>
      <name val="Carlito"/>
    </font>
    <font>
      <sz val="9"/>
      <color rgb="FF17324D"/>
      <name val="Carlito"/>
    </font>
    <font>
      <sz val="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B5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0F8F83"/>
      </patternFill>
    </fill>
    <fill>
      <patternFill patternType="solid">
        <fgColor rgb="FFD9EAF7"/>
      </patternFill>
    </fill>
    <fill>
      <patternFill patternType="solid">
        <fgColor rgb="FFD9F2E6"/>
      </patternFill>
    </fill>
  </fills>
  <borders count="16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5" borderId="12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  <xf numFmtId="164" fontId="4" fillId="5" borderId="6" xfId="0" applyNumberFormat="1" applyFont="1" applyFill="1" applyBorder="1" applyAlignment="1">
      <alignment vertical="center" wrapText="1"/>
    </xf>
    <xf numFmtId="164" fontId="4" fillId="6" borderId="8" xfId="0" applyNumberFormat="1" applyFont="1" applyFill="1" applyBorder="1" applyAlignment="1">
      <alignment vertical="center" wrapText="1"/>
    </xf>
    <xf numFmtId="164" fontId="4" fillId="5" borderId="8" xfId="0" applyNumberFormat="1" applyFont="1" applyFill="1" applyBorder="1" applyAlignment="1">
      <alignment vertical="center" wrapText="1"/>
    </xf>
    <xf numFmtId="164" fontId="4" fillId="6" borderId="11" xfId="0" applyNumberFormat="1" applyFont="1" applyFill="1" applyBorder="1" applyAlignment="1">
      <alignment vertical="center" wrapText="1"/>
    </xf>
    <xf numFmtId="0" fontId="6" fillId="8" borderId="4" xfId="0" applyFont="1" applyFill="1" applyBorder="1" applyAlignment="1">
      <alignment vertical="center" wrapText="1"/>
    </xf>
    <xf numFmtId="0" fontId="6" fillId="8" borderId="5" xfId="0" applyFont="1" applyFill="1" applyBorder="1" applyAlignment="1">
      <alignment vertical="center" wrapText="1"/>
    </xf>
    <xf numFmtId="0" fontId="6" fillId="8" borderId="6" xfId="0" applyFont="1" applyFill="1" applyBorder="1" applyAlignment="1">
      <alignment vertical="center" wrapText="1"/>
    </xf>
    <xf numFmtId="0" fontId="6" fillId="8" borderId="9" xfId="0" applyFont="1" applyFill="1" applyBorder="1" applyAlignment="1">
      <alignment vertical="center" wrapText="1"/>
    </xf>
    <xf numFmtId="0" fontId="6" fillId="8" borderId="10" xfId="0" applyFont="1" applyFill="1" applyBorder="1" applyAlignment="1">
      <alignment vertical="center" wrapText="1"/>
    </xf>
    <xf numFmtId="0" fontId="6" fillId="8" borderId="11" xfId="0" applyFont="1" applyFill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vertical="center" wrapText="1"/>
    </xf>
    <xf numFmtId="0" fontId="8" fillId="8" borderId="15" xfId="0" applyFont="1" applyFill="1" applyBorder="1" applyAlignment="1">
      <alignment vertical="center" wrapText="1"/>
    </xf>
    <xf numFmtId="0" fontId="8" fillId="8" borderId="1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vertical="center" wrapText="1"/>
    </xf>
    <xf numFmtId="0" fontId="13" fillId="5" borderId="5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13" fillId="6" borderId="9" xfId="0" applyFont="1" applyFill="1" applyBorder="1" applyAlignment="1">
      <alignment vertical="center" wrapText="1"/>
    </xf>
    <xf numFmtId="0" fontId="13" fillId="6" borderId="10" xfId="0" applyFont="1" applyFill="1" applyBorder="1" applyAlignment="1">
      <alignment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165" fontId="13" fillId="5" borderId="5" xfId="0" applyNumberFormat="1" applyFont="1" applyFill="1" applyBorder="1" applyAlignment="1">
      <alignment vertical="center" wrapText="1"/>
    </xf>
    <xf numFmtId="165" fontId="13" fillId="6" borderId="0" xfId="0" applyNumberFormat="1" applyFont="1" applyFill="1" applyAlignment="1">
      <alignment vertical="center" wrapText="1"/>
    </xf>
    <xf numFmtId="165" fontId="13" fillId="5" borderId="0" xfId="0" applyNumberFormat="1" applyFont="1" applyFill="1" applyAlignment="1">
      <alignment vertical="center" wrapText="1"/>
    </xf>
    <xf numFmtId="165" fontId="13" fillId="6" borderId="10" xfId="0" applyNumberFormat="1" applyFont="1" applyFill="1" applyBorder="1" applyAlignment="1">
      <alignment vertical="center" wrapText="1"/>
    </xf>
    <xf numFmtId="1" fontId="13" fillId="5" borderId="5" xfId="0" applyNumberFormat="1" applyFont="1" applyFill="1" applyBorder="1" applyAlignment="1">
      <alignment vertical="center" wrapText="1"/>
    </xf>
    <xf numFmtId="1" fontId="13" fillId="6" borderId="0" xfId="0" applyNumberFormat="1" applyFont="1" applyFill="1" applyAlignment="1">
      <alignment vertical="center" wrapText="1"/>
    </xf>
    <xf numFmtId="1" fontId="13" fillId="5" borderId="0" xfId="0" applyNumberFormat="1" applyFont="1" applyFill="1" applyAlignment="1">
      <alignment vertical="center" wrapText="1"/>
    </xf>
    <xf numFmtId="1" fontId="13" fillId="6" borderId="10" xfId="0" applyNumberFormat="1" applyFont="1" applyFill="1" applyBorder="1" applyAlignment="1">
      <alignment vertical="center" wrapText="1"/>
    </xf>
    <xf numFmtId="164" fontId="13" fillId="5" borderId="5" xfId="0" applyNumberFormat="1" applyFont="1" applyFill="1" applyBorder="1" applyAlignment="1">
      <alignment vertical="center" wrapText="1"/>
    </xf>
    <xf numFmtId="164" fontId="13" fillId="6" borderId="0" xfId="0" applyNumberFormat="1" applyFont="1" applyFill="1" applyAlignment="1">
      <alignment vertical="center" wrapText="1"/>
    </xf>
    <xf numFmtId="164" fontId="13" fillId="5" borderId="0" xfId="0" applyNumberFormat="1" applyFont="1" applyFill="1" applyAlignment="1">
      <alignment vertical="center" wrapText="1"/>
    </xf>
    <xf numFmtId="164" fontId="13" fillId="6" borderId="10" xfId="0" applyNumberFormat="1" applyFont="1" applyFill="1" applyBorder="1" applyAlignment="1">
      <alignment vertical="center" wrapText="1"/>
    </xf>
    <xf numFmtId="166" fontId="13" fillId="5" borderId="6" xfId="0" applyNumberFormat="1" applyFont="1" applyFill="1" applyBorder="1" applyAlignment="1">
      <alignment vertical="center" wrapText="1"/>
    </xf>
    <xf numFmtId="166" fontId="13" fillId="6" borderId="8" xfId="0" applyNumberFormat="1" applyFont="1" applyFill="1" applyBorder="1" applyAlignment="1">
      <alignment vertical="center" wrapText="1"/>
    </xf>
    <xf numFmtId="166" fontId="13" fillId="5" borderId="8" xfId="0" applyNumberFormat="1" applyFont="1" applyFill="1" applyBorder="1" applyAlignment="1">
      <alignment vertical="center" wrapText="1"/>
    </xf>
    <xf numFmtId="166" fontId="13" fillId="6" borderId="11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5" fillId="7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D18" sqref="D18"/>
    </sheetView>
  </sheetViews>
  <sheetFormatPr defaultRowHeight="14"/>
  <cols>
    <col min="1" max="1" width="22" customWidth="1"/>
    <col min="2" max="2" width="34" customWidth="1"/>
    <col min="3" max="4" width="14" customWidth="1"/>
    <col min="5" max="5" width="34" customWidth="1"/>
    <col min="6" max="6" width="20" customWidth="1"/>
  </cols>
  <sheetData>
    <row r="1" spans="1:6" ht="18.649999999999999" customHeight="1">
      <c r="A1" s="77" t="s">
        <v>0</v>
      </c>
      <c r="B1" s="77"/>
      <c r="C1" s="77"/>
      <c r="D1" s="77"/>
      <c r="E1" s="77"/>
      <c r="F1" s="77"/>
    </row>
    <row r="2" spans="1:6" ht="25.4" customHeight="1">
      <c r="A2" s="78" t="s">
        <v>1</v>
      </c>
      <c r="B2" s="78"/>
      <c r="C2" s="78"/>
      <c r="D2" s="78"/>
      <c r="E2" s="78"/>
      <c r="F2" s="78"/>
    </row>
    <row r="3" spans="1:6" ht="24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</row>
    <row r="4" spans="1:6">
      <c r="A4" s="4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13">
        <v>3000000</v>
      </c>
    </row>
    <row r="5" spans="1:6">
      <c r="A5" s="6" t="s">
        <v>13</v>
      </c>
      <c r="B5" s="7" t="s">
        <v>14</v>
      </c>
      <c r="C5" s="7" t="s">
        <v>15</v>
      </c>
      <c r="D5" s="7" t="s">
        <v>11</v>
      </c>
      <c r="E5" s="7" t="s">
        <v>12</v>
      </c>
      <c r="F5" s="14">
        <v>3000000</v>
      </c>
    </row>
    <row r="6" spans="1:6">
      <c r="A6" s="8" t="s">
        <v>16</v>
      </c>
      <c r="B6" s="9" t="s">
        <v>17</v>
      </c>
      <c r="C6" s="9" t="s">
        <v>18</v>
      </c>
      <c r="D6" s="9" t="s">
        <v>19</v>
      </c>
      <c r="E6" s="9" t="s">
        <v>20</v>
      </c>
      <c r="F6" s="15">
        <v>800000</v>
      </c>
    </row>
    <row r="7" spans="1:6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14">
        <v>2500000</v>
      </c>
    </row>
    <row r="8" spans="1:6">
      <c r="A8" s="8" t="s">
        <v>26</v>
      </c>
      <c r="B8" s="9" t="s">
        <v>27</v>
      </c>
      <c r="C8" s="9" t="s">
        <v>28</v>
      </c>
      <c r="D8" s="9" t="s">
        <v>29</v>
      </c>
      <c r="E8" s="9" t="s">
        <v>30</v>
      </c>
      <c r="F8" s="15">
        <v>250000</v>
      </c>
    </row>
    <row r="9" spans="1:6">
      <c r="A9" s="6" t="s">
        <v>31</v>
      </c>
      <c r="B9" s="7" t="s">
        <v>32</v>
      </c>
      <c r="C9" s="7" t="s">
        <v>33</v>
      </c>
      <c r="D9" s="7" t="s">
        <v>34</v>
      </c>
      <c r="E9" s="7" t="s">
        <v>35</v>
      </c>
      <c r="F9" s="14">
        <v>250000</v>
      </c>
    </row>
    <row r="10" spans="1:6">
      <c r="A10" s="8" t="s">
        <v>36</v>
      </c>
      <c r="B10" s="9" t="s">
        <v>37</v>
      </c>
      <c r="C10" s="9" t="s">
        <v>38</v>
      </c>
      <c r="D10" s="9" t="s">
        <v>34</v>
      </c>
      <c r="E10" s="9" t="s">
        <v>35</v>
      </c>
      <c r="F10" s="15">
        <v>250000</v>
      </c>
    </row>
    <row r="11" spans="1:6">
      <c r="A11" s="6" t="s">
        <v>8</v>
      </c>
      <c r="B11" s="7" t="s">
        <v>9</v>
      </c>
      <c r="C11" s="7" t="s">
        <v>10</v>
      </c>
      <c r="D11" s="7" t="s">
        <v>39</v>
      </c>
      <c r="E11" s="7" t="s">
        <v>40</v>
      </c>
      <c r="F11" s="14">
        <v>1500000</v>
      </c>
    </row>
    <row r="12" spans="1:6">
      <c r="A12" s="8" t="s">
        <v>16</v>
      </c>
      <c r="B12" s="9" t="s">
        <v>17</v>
      </c>
      <c r="C12" s="9" t="s">
        <v>18</v>
      </c>
      <c r="D12" s="9" t="s">
        <v>39</v>
      </c>
      <c r="E12" s="9" t="s">
        <v>40</v>
      </c>
      <c r="F12" s="15">
        <v>1500000</v>
      </c>
    </row>
    <row r="13" spans="1:6">
      <c r="A13" s="6" t="s">
        <v>41</v>
      </c>
      <c r="B13" s="7" t="s">
        <v>42</v>
      </c>
      <c r="C13" s="7" t="s">
        <v>43</v>
      </c>
      <c r="D13" s="7" t="s">
        <v>44</v>
      </c>
      <c r="E13" s="7" t="s">
        <v>45</v>
      </c>
      <c r="F13" s="14">
        <v>1800000</v>
      </c>
    </row>
    <row r="14" spans="1:6">
      <c r="A14" s="8" t="s">
        <v>46</v>
      </c>
      <c r="B14" s="9" t="s">
        <v>47</v>
      </c>
      <c r="C14" s="9" t="s">
        <v>48</v>
      </c>
      <c r="D14" s="9" t="s">
        <v>49</v>
      </c>
      <c r="E14" s="9" t="s">
        <v>50</v>
      </c>
      <c r="F14" s="15">
        <v>1200000</v>
      </c>
    </row>
    <row r="15" spans="1:6" ht="25">
      <c r="A15" s="6" t="s">
        <v>51</v>
      </c>
      <c r="B15" s="7" t="s">
        <v>52</v>
      </c>
      <c r="C15" s="7" t="s">
        <v>53</v>
      </c>
      <c r="D15" s="7" t="s">
        <v>54</v>
      </c>
      <c r="E15" s="7" t="s">
        <v>55</v>
      </c>
      <c r="F15" s="14">
        <v>800000</v>
      </c>
    </row>
    <row r="16" spans="1:6">
      <c r="A16" s="8" t="s">
        <v>56</v>
      </c>
      <c r="B16" s="9" t="s">
        <v>57</v>
      </c>
      <c r="C16" s="9" t="s">
        <v>58</v>
      </c>
      <c r="D16" s="9" t="s">
        <v>59</v>
      </c>
      <c r="E16" s="9" t="s">
        <v>60</v>
      </c>
      <c r="F16" s="15">
        <v>350000</v>
      </c>
    </row>
    <row r="17" spans="1:6">
      <c r="A17" s="11" t="s">
        <v>61</v>
      </c>
      <c r="B17" s="12" t="s">
        <v>62</v>
      </c>
      <c r="C17" s="12" t="s">
        <v>63</v>
      </c>
      <c r="D17" s="12" t="s">
        <v>59</v>
      </c>
      <c r="E17" s="12" t="s">
        <v>60</v>
      </c>
      <c r="F17" s="16">
        <v>350000</v>
      </c>
    </row>
    <row r="18" spans="1:6">
      <c r="A18" s="10" t="s">
        <v>181</v>
      </c>
      <c r="B18" s="12" t="s">
        <v>62</v>
      </c>
      <c r="C18" s="12" t="s">
        <v>182</v>
      </c>
      <c r="D18" s="12" t="s">
        <v>184</v>
      </c>
      <c r="E18" s="12" t="s">
        <v>183</v>
      </c>
      <c r="F18" s="16">
        <v>350001</v>
      </c>
    </row>
  </sheetData>
  <mergeCells count="2">
    <mergeCell ref="A1:F1"/>
    <mergeCell ref="A2:F2"/>
  </mergeCells>
  <phoneticPr fontId="14" type="noConversion"/>
  <dataValidations count="1">
    <dataValidation type="list" sqref="D4:D100" xr:uid="{00000000-0002-0000-0000-000000000000}">
      <formula1>"TECH001,TECH002,TECH003,TECH004,TECH005,TECH006,TECH007,TECH008,TECH009,TECH010"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0"/>
  <sheetViews>
    <sheetView tabSelected="1" topLeftCell="A34" workbookViewId="0">
      <selection activeCell="D42" sqref="D42"/>
    </sheetView>
  </sheetViews>
  <sheetFormatPr defaultRowHeight="14"/>
  <cols>
    <col min="1" max="1" width="32" customWidth="1"/>
    <col min="2" max="2" width="22" customWidth="1"/>
    <col min="3" max="3" width="16" customWidth="1"/>
    <col min="4" max="4" width="28" customWidth="1"/>
    <col min="5" max="9" width="14" customWidth="1"/>
    <col min="10" max="10" width="12" customWidth="1"/>
    <col min="11" max="11" width="18" customWidth="1"/>
    <col min="12" max="15" width="15" customWidth="1"/>
    <col min="16" max="17" width="13" customWidth="1"/>
    <col min="18" max="18" width="15" customWidth="1"/>
    <col min="19" max="19" width="17" customWidth="1"/>
    <col min="20" max="21" width="16" customWidth="1"/>
    <col min="22" max="22" width="15" customWidth="1"/>
    <col min="23" max="24" width="17" customWidth="1"/>
    <col min="25" max="26" width="35" customWidth="1"/>
    <col min="27" max="28" width="43" customWidth="1"/>
    <col min="29" max="29" width="14" customWidth="1"/>
  </cols>
  <sheetData>
    <row r="1" spans="1:10" ht="18.649999999999999" customHeight="1">
      <c r="A1" s="77" t="s">
        <v>64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25.4" customHeight="1">
      <c r="A2" s="78" t="s">
        <v>65</v>
      </c>
      <c r="B2" s="78"/>
      <c r="C2" s="78"/>
      <c r="D2" s="78"/>
      <c r="E2" s="78"/>
      <c r="F2" s="78"/>
      <c r="G2" s="78"/>
      <c r="H2" s="78"/>
      <c r="I2" s="78"/>
      <c r="J2" s="78"/>
    </row>
    <row r="4" spans="1:10" ht="15.5">
      <c r="A4" s="79" t="s">
        <v>66</v>
      </c>
      <c r="B4" s="79"/>
      <c r="C4" s="79"/>
      <c r="D4" s="79"/>
    </row>
    <row r="5" spans="1:10">
      <c r="A5" s="1" t="s">
        <v>67</v>
      </c>
      <c r="B5" s="2" t="s">
        <v>68</v>
      </c>
      <c r="C5" s="2" t="s">
        <v>69</v>
      </c>
      <c r="D5" s="3" t="s">
        <v>70</v>
      </c>
    </row>
    <row r="6" spans="1:10" ht="42">
      <c r="A6" s="17" t="s">
        <v>71</v>
      </c>
      <c r="B6" s="23">
        <v>70</v>
      </c>
      <c r="C6" s="18" t="s">
        <v>72</v>
      </c>
      <c r="D6" s="19" t="s">
        <v>73</v>
      </c>
    </row>
    <row r="7" spans="1:10" ht="42">
      <c r="A7" s="20" t="s">
        <v>74</v>
      </c>
      <c r="B7" s="24">
        <v>30</v>
      </c>
      <c r="C7" s="21" t="s">
        <v>72</v>
      </c>
      <c r="D7" s="22" t="s">
        <v>75</v>
      </c>
    </row>
    <row r="9" spans="1:10" ht="15.5">
      <c r="A9" s="79" t="s">
        <v>76</v>
      </c>
      <c r="B9" s="79"/>
      <c r="C9" s="79"/>
      <c r="D9" s="79"/>
      <c r="E9" s="79"/>
      <c r="F9" s="79"/>
      <c r="G9" s="79"/>
      <c r="H9" s="79"/>
      <c r="I9" s="79"/>
      <c r="J9" s="79"/>
    </row>
    <row r="10" spans="1:10" ht="28" customHeight="1">
      <c r="A10" s="1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85</v>
      </c>
      <c r="J10" s="3" t="s">
        <v>86</v>
      </c>
    </row>
    <row r="11" spans="1:10">
      <c r="A11" s="25" t="s">
        <v>87</v>
      </c>
      <c r="B11" s="28">
        <v>10</v>
      </c>
      <c r="C11" s="29">
        <v>5</v>
      </c>
      <c r="D11" s="29">
        <v>15</v>
      </c>
      <c r="E11" s="29">
        <v>30</v>
      </c>
      <c r="F11" s="29">
        <v>14</v>
      </c>
      <c r="G11" s="29">
        <v>13</v>
      </c>
      <c r="H11" s="29">
        <v>8</v>
      </c>
      <c r="I11" s="30">
        <v>5</v>
      </c>
      <c r="J11" s="37">
        <f t="shared" ref="J11:J17" si="0">SUM(B11:I11)</f>
        <v>100</v>
      </c>
    </row>
    <row r="12" spans="1:10">
      <c r="A12" s="26" t="s">
        <v>88</v>
      </c>
      <c r="B12" s="31">
        <v>10</v>
      </c>
      <c r="C12" s="32">
        <v>5</v>
      </c>
      <c r="D12" s="32">
        <v>30</v>
      </c>
      <c r="E12" s="32">
        <v>15</v>
      </c>
      <c r="F12" s="32">
        <v>14</v>
      </c>
      <c r="G12" s="32">
        <v>13</v>
      </c>
      <c r="H12" s="32">
        <v>8</v>
      </c>
      <c r="I12" s="33">
        <v>5</v>
      </c>
      <c r="J12" s="38">
        <f t="shared" si="0"/>
        <v>100</v>
      </c>
    </row>
    <row r="13" spans="1:10">
      <c r="A13" s="26" t="s">
        <v>89</v>
      </c>
      <c r="B13" s="31">
        <v>9</v>
      </c>
      <c r="C13" s="32">
        <v>5</v>
      </c>
      <c r="D13" s="32">
        <v>18</v>
      </c>
      <c r="E13" s="32">
        <v>17</v>
      </c>
      <c r="F13" s="32">
        <v>14</v>
      </c>
      <c r="G13" s="32">
        <v>25</v>
      </c>
      <c r="H13" s="32">
        <v>7</v>
      </c>
      <c r="I13" s="33">
        <v>5</v>
      </c>
      <c r="J13" s="38">
        <f t="shared" si="0"/>
        <v>100</v>
      </c>
    </row>
    <row r="14" spans="1:10">
      <c r="A14" s="26" t="s">
        <v>90</v>
      </c>
      <c r="B14" s="31">
        <v>10</v>
      </c>
      <c r="C14" s="32">
        <v>5</v>
      </c>
      <c r="D14" s="32">
        <v>20</v>
      </c>
      <c r="E14" s="32">
        <v>20</v>
      </c>
      <c r="F14" s="32">
        <v>15</v>
      </c>
      <c r="G14" s="32">
        <v>15</v>
      </c>
      <c r="H14" s="32">
        <v>10</v>
      </c>
      <c r="I14" s="33">
        <v>5</v>
      </c>
      <c r="J14" s="38">
        <f t="shared" si="0"/>
        <v>100</v>
      </c>
    </row>
    <row r="15" spans="1:10">
      <c r="A15" s="26" t="s">
        <v>91</v>
      </c>
      <c r="B15" s="31">
        <v>8</v>
      </c>
      <c r="C15" s="32">
        <v>5</v>
      </c>
      <c r="D15" s="32">
        <v>15</v>
      </c>
      <c r="E15" s="32">
        <v>17</v>
      </c>
      <c r="F15" s="32">
        <v>18</v>
      </c>
      <c r="G15" s="32">
        <v>25</v>
      </c>
      <c r="H15" s="32">
        <v>7</v>
      </c>
      <c r="I15" s="33">
        <v>5</v>
      </c>
      <c r="J15" s="38">
        <f t="shared" si="0"/>
        <v>100</v>
      </c>
    </row>
    <row r="16" spans="1:10">
      <c r="A16" s="26" t="s">
        <v>92</v>
      </c>
      <c r="B16" s="31">
        <v>8</v>
      </c>
      <c r="C16" s="32">
        <v>5</v>
      </c>
      <c r="D16" s="32">
        <v>18</v>
      </c>
      <c r="E16" s="32">
        <v>16</v>
      </c>
      <c r="F16" s="32">
        <v>13</v>
      </c>
      <c r="G16" s="32">
        <v>13</v>
      </c>
      <c r="H16" s="32">
        <v>22</v>
      </c>
      <c r="I16" s="33">
        <v>5</v>
      </c>
      <c r="J16" s="38">
        <f t="shared" si="0"/>
        <v>100</v>
      </c>
    </row>
    <row r="17" spans="1:29">
      <c r="A17" s="27" t="s">
        <v>93</v>
      </c>
      <c r="B17" s="34">
        <v>8</v>
      </c>
      <c r="C17" s="35">
        <v>5</v>
      </c>
      <c r="D17" s="35">
        <v>16</v>
      </c>
      <c r="E17" s="35">
        <v>16</v>
      </c>
      <c r="F17" s="35">
        <v>13</v>
      </c>
      <c r="G17" s="35">
        <v>13</v>
      </c>
      <c r="H17" s="35">
        <v>7</v>
      </c>
      <c r="I17" s="36">
        <v>22</v>
      </c>
      <c r="J17" s="39">
        <f t="shared" si="0"/>
        <v>100</v>
      </c>
    </row>
    <row r="18" spans="1:29" ht="21.4" customHeight="1">
      <c r="A18" s="80" t="s">
        <v>94</v>
      </c>
      <c r="B18" s="80"/>
      <c r="C18" s="80"/>
      <c r="D18" s="80"/>
      <c r="E18" s="80"/>
      <c r="F18" s="80"/>
      <c r="G18" s="80"/>
      <c r="H18" s="80"/>
      <c r="I18" s="80"/>
      <c r="J18" s="80"/>
    </row>
    <row r="20" spans="1:29" ht="15.5">
      <c r="A20" s="79" t="s">
        <v>95</v>
      </c>
      <c r="B20" s="79"/>
      <c r="C20" s="79"/>
      <c r="D20" s="79"/>
    </row>
    <row r="21" spans="1:29">
      <c r="A21" s="40" t="s">
        <v>96</v>
      </c>
      <c r="B21" s="41" t="s">
        <v>97</v>
      </c>
      <c r="C21" s="81" t="s">
        <v>70</v>
      </c>
      <c r="D21" s="82"/>
    </row>
    <row r="22" spans="1:29">
      <c r="A22" s="23">
        <v>1</v>
      </c>
      <c r="B22" s="43" t="s">
        <v>98</v>
      </c>
      <c r="C22" s="83" t="s">
        <v>99</v>
      </c>
      <c r="D22" s="84"/>
    </row>
    <row r="23" spans="1:29">
      <c r="A23" s="42">
        <v>2</v>
      </c>
      <c r="B23" s="44" t="s">
        <v>100</v>
      </c>
      <c r="C23" s="85" t="s">
        <v>101</v>
      </c>
      <c r="D23" s="86"/>
    </row>
    <row r="24" spans="1:29">
      <c r="A24" s="42">
        <v>3</v>
      </c>
      <c r="B24" s="44" t="s">
        <v>102</v>
      </c>
      <c r="C24" s="85" t="s">
        <v>103</v>
      </c>
      <c r="D24" s="86"/>
    </row>
    <row r="25" spans="1:29">
      <c r="A25" s="42">
        <v>4</v>
      </c>
      <c r="B25" s="44" t="s">
        <v>104</v>
      </c>
      <c r="C25" s="85" t="s">
        <v>105</v>
      </c>
      <c r="D25" s="86"/>
    </row>
    <row r="26" spans="1:29">
      <c r="A26" s="24">
        <v>5</v>
      </c>
      <c r="B26" s="45" t="s">
        <v>106</v>
      </c>
      <c r="C26" s="87" t="s">
        <v>107</v>
      </c>
      <c r="D26" s="88"/>
    </row>
    <row r="28" spans="1:29" ht="15.5">
      <c r="A28" s="89" t="s">
        <v>108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</row>
    <row r="29" spans="1:29" ht="36.65" customHeight="1">
      <c r="A29" s="46" t="s">
        <v>5</v>
      </c>
      <c r="B29" s="47" t="s">
        <v>6</v>
      </c>
      <c r="C29" s="47" t="s">
        <v>109</v>
      </c>
      <c r="D29" s="47" t="s">
        <v>110</v>
      </c>
      <c r="E29" s="47" t="s">
        <v>111</v>
      </c>
      <c r="F29" s="47" t="s">
        <v>112</v>
      </c>
      <c r="G29" s="47" t="s">
        <v>113</v>
      </c>
      <c r="H29" s="47" t="s">
        <v>114</v>
      </c>
      <c r="I29" s="47" t="s">
        <v>115</v>
      </c>
      <c r="J29" s="47" t="s">
        <v>116</v>
      </c>
      <c r="K29" s="47" t="s">
        <v>117</v>
      </c>
      <c r="L29" s="47" t="s">
        <v>118</v>
      </c>
      <c r="M29" s="47" t="s">
        <v>119</v>
      </c>
      <c r="N29" s="47" t="s">
        <v>120</v>
      </c>
      <c r="O29" s="47" t="s">
        <v>121</v>
      </c>
      <c r="P29" s="47" t="s">
        <v>122</v>
      </c>
      <c r="Q29" s="47" t="s">
        <v>123</v>
      </c>
      <c r="R29" s="47" t="s">
        <v>124</v>
      </c>
      <c r="S29" s="47" t="s">
        <v>125</v>
      </c>
      <c r="T29" s="47" t="s">
        <v>126</v>
      </c>
      <c r="U29" s="47" t="s">
        <v>127</v>
      </c>
      <c r="V29" s="47" t="s">
        <v>128</v>
      </c>
      <c r="W29" s="47" t="s">
        <v>129</v>
      </c>
      <c r="X29" s="47" t="s">
        <v>130</v>
      </c>
      <c r="Y29" s="47" t="s">
        <v>131</v>
      </c>
      <c r="Z29" s="47" t="s">
        <v>132</v>
      </c>
      <c r="AA29" s="47" t="s">
        <v>133</v>
      </c>
      <c r="AB29" s="47" t="s">
        <v>134</v>
      </c>
      <c r="AC29" s="48" t="s">
        <v>135</v>
      </c>
    </row>
    <row r="30" spans="1:29" ht="34.5">
      <c r="A30" s="49" t="s">
        <v>44</v>
      </c>
      <c r="B30" s="50" t="s">
        <v>45</v>
      </c>
      <c r="C30" s="50" t="s">
        <v>136</v>
      </c>
      <c r="D30" s="50" t="s">
        <v>137</v>
      </c>
      <c r="E30" s="57">
        <v>1</v>
      </c>
      <c r="F30" s="57">
        <v>3</v>
      </c>
      <c r="G30" s="57">
        <v>5</v>
      </c>
      <c r="H30" s="57">
        <v>5</v>
      </c>
      <c r="I30" s="57">
        <v>5</v>
      </c>
      <c r="J30" s="57">
        <v>5</v>
      </c>
      <c r="K30" s="57">
        <v>5</v>
      </c>
      <c r="L30" s="57">
        <v>2</v>
      </c>
      <c r="M30" s="57">
        <v>1</v>
      </c>
      <c r="N30" s="57">
        <v>5</v>
      </c>
      <c r="O30" s="57">
        <v>4</v>
      </c>
      <c r="P30" s="57">
        <v>4</v>
      </c>
      <c r="Q30" s="57">
        <v>4</v>
      </c>
      <c r="R30" s="61">
        <v>3</v>
      </c>
      <c r="S30" s="65">
        <v>500</v>
      </c>
      <c r="T30" s="65">
        <v>200</v>
      </c>
      <c r="U30" s="65">
        <v>3</v>
      </c>
      <c r="V30" s="65">
        <v>65</v>
      </c>
      <c r="W30" s="69">
        <v>1500000</v>
      </c>
      <c r="X30" s="69">
        <v>8000000</v>
      </c>
      <c r="Y30" s="50" t="s">
        <v>138</v>
      </c>
      <c r="Z30" s="50" t="s">
        <v>139</v>
      </c>
      <c r="AA30" s="50" t="s">
        <v>140</v>
      </c>
      <c r="AB30" s="50" t="s">
        <v>141</v>
      </c>
      <c r="AC30" s="73" t="s">
        <v>142</v>
      </c>
    </row>
    <row r="31" spans="1:29" ht="34.5">
      <c r="A31" s="51" t="s">
        <v>39</v>
      </c>
      <c r="B31" s="52" t="s">
        <v>40</v>
      </c>
      <c r="C31" s="52" t="s">
        <v>136</v>
      </c>
      <c r="D31" s="52" t="s">
        <v>137</v>
      </c>
      <c r="E31" s="58">
        <v>1</v>
      </c>
      <c r="F31" s="58">
        <v>4</v>
      </c>
      <c r="G31" s="58">
        <v>5</v>
      </c>
      <c r="H31" s="58">
        <v>4</v>
      </c>
      <c r="I31" s="58">
        <v>4</v>
      </c>
      <c r="J31" s="58">
        <v>4</v>
      </c>
      <c r="K31" s="58">
        <v>4</v>
      </c>
      <c r="L31" s="58">
        <v>2</v>
      </c>
      <c r="M31" s="58">
        <v>1</v>
      </c>
      <c r="N31" s="58">
        <v>5</v>
      </c>
      <c r="O31" s="58">
        <v>4</v>
      </c>
      <c r="P31" s="58">
        <v>3</v>
      </c>
      <c r="Q31" s="58">
        <v>4</v>
      </c>
      <c r="R31" s="62">
        <v>5.5</v>
      </c>
      <c r="S31" s="66">
        <v>750</v>
      </c>
      <c r="T31" s="66">
        <v>500</v>
      </c>
      <c r="U31" s="66">
        <v>4</v>
      </c>
      <c r="V31" s="66">
        <v>75</v>
      </c>
      <c r="W31" s="70">
        <v>1200000</v>
      </c>
      <c r="X31" s="70">
        <v>7000000</v>
      </c>
      <c r="Y31" s="52" t="s">
        <v>143</v>
      </c>
      <c r="Z31" s="52" t="s">
        <v>144</v>
      </c>
      <c r="AA31" s="52" t="s">
        <v>145</v>
      </c>
      <c r="AB31" s="52" t="s">
        <v>146</v>
      </c>
      <c r="AC31" s="74" t="s">
        <v>142</v>
      </c>
    </row>
    <row r="32" spans="1:29" ht="34.5">
      <c r="A32" s="53" t="s">
        <v>11</v>
      </c>
      <c r="B32" s="54" t="s">
        <v>12</v>
      </c>
      <c r="C32" s="54" t="s">
        <v>136</v>
      </c>
      <c r="D32" s="54" t="s">
        <v>147</v>
      </c>
      <c r="E32" s="59">
        <v>5</v>
      </c>
      <c r="F32" s="59">
        <v>2</v>
      </c>
      <c r="G32" s="59">
        <v>1</v>
      </c>
      <c r="H32" s="59">
        <v>1</v>
      </c>
      <c r="I32" s="59">
        <v>1</v>
      </c>
      <c r="J32" s="59">
        <v>5</v>
      </c>
      <c r="K32" s="59">
        <v>3</v>
      </c>
      <c r="L32" s="59">
        <v>5</v>
      </c>
      <c r="M32" s="59">
        <v>4</v>
      </c>
      <c r="N32" s="59">
        <v>5</v>
      </c>
      <c r="O32" s="59">
        <v>4</v>
      </c>
      <c r="P32" s="59">
        <v>2</v>
      </c>
      <c r="Q32" s="59">
        <v>3</v>
      </c>
      <c r="R32" s="63">
        <v>8</v>
      </c>
      <c r="S32" s="67">
        <v>1500</v>
      </c>
      <c r="T32" s="67">
        <v>800</v>
      </c>
      <c r="U32" s="67">
        <v>5</v>
      </c>
      <c r="V32" s="67">
        <v>75</v>
      </c>
      <c r="W32" s="71">
        <v>2500000</v>
      </c>
      <c r="X32" s="71">
        <v>15000000</v>
      </c>
      <c r="Y32" s="54" t="s">
        <v>148</v>
      </c>
      <c r="Z32" s="54" t="s">
        <v>149</v>
      </c>
      <c r="AA32" s="54" t="s">
        <v>150</v>
      </c>
      <c r="AB32" s="54" t="s">
        <v>151</v>
      </c>
      <c r="AC32" s="75" t="s">
        <v>142</v>
      </c>
    </row>
    <row r="33" spans="1:29" ht="34.5">
      <c r="A33" s="51" t="s">
        <v>24</v>
      </c>
      <c r="B33" s="52" t="s">
        <v>25</v>
      </c>
      <c r="C33" s="52" t="s">
        <v>136</v>
      </c>
      <c r="D33" s="52" t="s">
        <v>147</v>
      </c>
      <c r="E33" s="58">
        <v>5</v>
      </c>
      <c r="F33" s="58">
        <v>3</v>
      </c>
      <c r="G33" s="58">
        <v>1</v>
      </c>
      <c r="H33" s="58">
        <v>1</v>
      </c>
      <c r="I33" s="58">
        <v>1</v>
      </c>
      <c r="J33" s="58">
        <v>5</v>
      </c>
      <c r="K33" s="58">
        <v>4</v>
      </c>
      <c r="L33" s="58">
        <v>5</v>
      </c>
      <c r="M33" s="58">
        <v>4</v>
      </c>
      <c r="N33" s="58">
        <v>5</v>
      </c>
      <c r="O33" s="58">
        <v>4</v>
      </c>
      <c r="P33" s="58">
        <v>4</v>
      </c>
      <c r="Q33" s="58">
        <v>5</v>
      </c>
      <c r="R33" s="62">
        <v>5</v>
      </c>
      <c r="S33" s="66">
        <v>1000</v>
      </c>
      <c r="T33" s="66">
        <v>500</v>
      </c>
      <c r="U33" s="66">
        <v>4</v>
      </c>
      <c r="V33" s="66">
        <v>70</v>
      </c>
      <c r="W33" s="70">
        <v>2000000</v>
      </c>
      <c r="X33" s="70">
        <v>12000000</v>
      </c>
      <c r="Y33" s="52" t="s">
        <v>152</v>
      </c>
      <c r="Z33" s="52" t="s">
        <v>153</v>
      </c>
      <c r="AA33" s="52" t="s">
        <v>154</v>
      </c>
      <c r="AB33" s="52" t="s">
        <v>155</v>
      </c>
      <c r="AC33" s="74" t="s">
        <v>142</v>
      </c>
    </row>
    <row r="34" spans="1:29" ht="34.5">
      <c r="A34" s="53" t="s">
        <v>59</v>
      </c>
      <c r="B34" s="54" t="s">
        <v>60</v>
      </c>
      <c r="C34" s="54" t="s">
        <v>136</v>
      </c>
      <c r="D34" s="54" t="s">
        <v>156</v>
      </c>
      <c r="E34" s="59">
        <v>1</v>
      </c>
      <c r="F34" s="59">
        <v>4</v>
      </c>
      <c r="G34" s="59">
        <v>4</v>
      </c>
      <c r="H34" s="59">
        <v>4</v>
      </c>
      <c r="I34" s="59">
        <v>4</v>
      </c>
      <c r="J34" s="59">
        <v>2</v>
      </c>
      <c r="K34" s="59">
        <v>4</v>
      </c>
      <c r="L34" s="59">
        <v>2</v>
      </c>
      <c r="M34" s="59">
        <v>1</v>
      </c>
      <c r="N34" s="59">
        <v>5</v>
      </c>
      <c r="O34" s="59">
        <v>4</v>
      </c>
      <c r="P34" s="59">
        <v>5</v>
      </c>
      <c r="Q34" s="59">
        <v>5</v>
      </c>
      <c r="R34" s="63">
        <v>3</v>
      </c>
      <c r="S34" s="67">
        <v>300</v>
      </c>
      <c r="T34" s="67">
        <v>250</v>
      </c>
      <c r="U34" s="67">
        <v>1</v>
      </c>
      <c r="V34" s="67">
        <v>55</v>
      </c>
      <c r="W34" s="71">
        <v>350000</v>
      </c>
      <c r="X34" s="71">
        <v>2500000</v>
      </c>
      <c r="Y34" s="54" t="s">
        <v>157</v>
      </c>
      <c r="Z34" s="54" t="s">
        <v>158</v>
      </c>
      <c r="AA34" s="54" t="s">
        <v>159</v>
      </c>
      <c r="AB34" s="54" t="s">
        <v>160</v>
      </c>
      <c r="AC34" s="75" t="s">
        <v>142</v>
      </c>
    </row>
    <row r="35" spans="1:29" ht="34.5">
      <c r="A35" s="51" t="s">
        <v>19</v>
      </c>
      <c r="B35" s="52" t="s">
        <v>20</v>
      </c>
      <c r="C35" s="52" t="s">
        <v>136</v>
      </c>
      <c r="D35" s="52" t="s">
        <v>147</v>
      </c>
      <c r="E35" s="58">
        <v>5</v>
      </c>
      <c r="F35" s="58">
        <v>2</v>
      </c>
      <c r="G35" s="58">
        <v>1</v>
      </c>
      <c r="H35" s="58">
        <v>1</v>
      </c>
      <c r="I35" s="58">
        <v>1</v>
      </c>
      <c r="J35" s="58">
        <v>5</v>
      </c>
      <c r="K35" s="58">
        <v>3</v>
      </c>
      <c r="L35" s="58">
        <v>4</v>
      </c>
      <c r="M35" s="58">
        <v>5</v>
      </c>
      <c r="N35" s="58">
        <v>2</v>
      </c>
      <c r="O35" s="58">
        <v>3</v>
      </c>
      <c r="P35" s="58">
        <v>3</v>
      </c>
      <c r="Q35" s="58">
        <v>3</v>
      </c>
      <c r="R35" s="62">
        <v>5</v>
      </c>
      <c r="S35" s="66">
        <v>1000</v>
      </c>
      <c r="T35" s="66">
        <v>400</v>
      </c>
      <c r="U35" s="66">
        <v>3</v>
      </c>
      <c r="V35" s="66">
        <v>50</v>
      </c>
      <c r="W35" s="70">
        <v>800000</v>
      </c>
      <c r="X35" s="70">
        <v>7000000</v>
      </c>
      <c r="Y35" s="52" t="s">
        <v>161</v>
      </c>
      <c r="Z35" s="52" t="s">
        <v>162</v>
      </c>
      <c r="AA35" s="52" t="s">
        <v>163</v>
      </c>
      <c r="AB35" s="52" t="s">
        <v>164</v>
      </c>
      <c r="AC35" s="74" t="s">
        <v>142</v>
      </c>
    </row>
    <row r="36" spans="1:29" ht="34.5">
      <c r="A36" s="53" t="s">
        <v>29</v>
      </c>
      <c r="B36" s="54" t="s">
        <v>30</v>
      </c>
      <c r="C36" s="54" t="s">
        <v>136</v>
      </c>
      <c r="D36" s="54" t="s">
        <v>147</v>
      </c>
      <c r="E36" s="59">
        <v>5</v>
      </c>
      <c r="F36" s="59">
        <v>2</v>
      </c>
      <c r="G36" s="59">
        <v>1</v>
      </c>
      <c r="H36" s="59">
        <v>1</v>
      </c>
      <c r="I36" s="59">
        <v>1</v>
      </c>
      <c r="J36" s="59">
        <v>3</v>
      </c>
      <c r="K36" s="59">
        <v>2</v>
      </c>
      <c r="L36" s="59">
        <v>3</v>
      </c>
      <c r="M36" s="59">
        <v>2</v>
      </c>
      <c r="N36" s="59">
        <v>5</v>
      </c>
      <c r="O36" s="59">
        <v>3</v>
      </c>
      <c r="P36" s="59">
        <v>4</v>
      </c>
      <c r="Q36" s="59">
        <v>3</v>
      </c>
      <c r="R36" s="63">
        <v>5</v>
      </c>
      <c r="S36" s="67">
        <v>500</v>
      </c>
      <c r="T36" s="67">
        <v>300</v>
      </c>
      <c r="U36" s="67">
        <v>2</v>
      </c>
      <c r="V36" s="67">
        <v>45</v>
      </c>
      <c r="W36" s="71">
        <v>250000</v>
      </c>
      <c r="X36" s="71">
        <v>1500000</v>
      </c>
      <c r="Y36" s="54" t="s">
        <v>165</v>
      </c>
      <c r="Z36" s="54" t="s">
        <v>166</v>
      </c>
      <c r="AA36" s="54" t="s">
        <v>167</v>
      </c>
      <c r="AB36" s="54" t="s">
        <v>168</v>
      </c>
      <c r="AC36" s="75" t="s">
        <v>142</v>
      </c>
    </row>
    <row r="37" spans="1:29" ht="34.5">
      <c r="A37" s="51" t="s">
        <v>34</v>
      </c>
      <c r="B37" s="52" t="s">
        <v>35</v>
      </c>
      <c r="C37" s="52" t="s">
        <v>136</v>
      </c>
      <c r="D37" s="52" t="s">
        <v>137</v>
      </c>
      <c r="E37" s="58">
        <v>1</v>
      </c>
      <c r="F37" s="58">
        <v>2</v>
      </c>
      <c r="G37" s="58">
        <v>4</v>
      </c>
      <c r="H37" s="58">
        <v>5</v>
      </c>
      <c r="I37" s="58">
        <v>4</v>
      </c>
      <c r="J37" s="58">
        <v>4</v>
      </c>
      <c r="K37" s="58">
        <v>2</v>
      </c>
      <c r="L37" s="58">
        <v>1</v>
      </c>
      <c r="M37" s="58">
        <v>1</v>
      </c>
      <c r="N37" s="58">
        <v>5</v>
      </c>
      <c r="O37" s="58">
        <v>4</v>
      </c>
      <c r="P37" s="58">
        <v>3</v>
      </c>
      <c r="Q37" s="58">
        <v>2</v>
      </c>
      <c r="R37" s="62">
        <v>3</v>
      </c>
      <c r="S37" s="66">
        <v>500</v>
      </c>
      <c r="T37" s="66">
        <v>50</v>
      </c>
      <c r="U37" s="66">
        <v>2</v>
      </c>
      <c r="V37" s="66">
        <v>50</v>
      </c>
      <c r="W37" s="70">
        <v>250000</v>
      </c>
      <c r="X37" s="70">
        <v>1200000</v>
      </c>
      <c r="Y37" s="52" t="s">
        <v>169</v>
      </c>
      <c r="Z37" s="52" t="s">
        <v>170</v>
      </c>
      <c r="AA37" s="52" t="s">
        <v>171</v>
      </c>
      <c r="AB37" s="52" t="s">
        <v>172</v>
      </c>
      <c r="AC37" s="74" t="s">
        <v>142</v>
      </c>
    </row>
    <row r="38" spans="1:29" ht="34.5">
      <c r="A38" s="53" t="s">
        <v>49</v>
      </c>
      <c r="B38" s="54" t="s">
        <v>50</v>
      </c>
      <c r="C38" s="54" t="s">
        <v>136</v>
      </c>
      <c r="D38" s="54" t="s">
        <v>137</v>
      </c>
      <c r="E38" s="59">
        <v>1</v>
      </c>
      <c r="F38" s="59">
        <v>4</v>
      </c>
      <c r="G38" s="59">
        <v>5</v>
      </c>
      <c r="H38" s="59">
        <v>5</v>
      </c>
      <c r="I38" s="59">
        <v>5</v>
      </c>
      <c r="J38" s="59">
        <v>4</v>
      </c>
      <c r="K38" s="59">
        <v>5</v>
      </c>
      <c r="L38" s="59">
        <v>2</v>
      </c>
      <c r="M38" s="59">
        <v>1</v>
      </c>
      <c r="N38" s="59">
        <v>5</v>
      </c>
      <c r="O38" s="59">
        <v>5</v>
      </c>
      <c r="P38" s="59">
        <v>5</v>
      </c>
      <c r="Q38" s="59">
        <v>5</v>
      </c>
      <c r="R38" s="63">
        <v>4</v>
      </c>
      <c r="S38" s="67">
        <v>500</v>
      </c>
      <c r="T38" s="67">
        <v>250</v>
      </c>
      <c r="U38" s="67">
        <v>3</v>
      </c>
      <c r="V38" s="67">
        <v>70</v>
      </c>
      <c r="W38" s="71">
        <v>1200000</v>
      </c>
      <c r="X38" s="71">
        <v>6000000</v>
      </c>
      <c r="Y38" s="54" t="s">
        <v>173</v>
      </c>
      <c r="Z38" s="54" t="s">
        <v>174</v>
      </c>
      <c r="AA38" s="54" t="s">
        <v>175</v>
      </c>
      <c r="AB38" s="54" t="s">
        <v>176</v>
      </c>
      <c r="AC38" s="75" t="s">
        <v>142</v>
      </c>
    </row>
    <row r="39" spans="1:29" ht="34.5">
      <c r="A39" s="55" t="s">
        <v>54</v>
      </c>
      <c r="B39" s="56" t="s">
        <v>55</v>
      </c>
      <c r="C39" s="56" t="s">
        <v>136</v>
      </c>
      <c r="D39" s="56" t="s">
        <v>137</v>
      </c>
      <c r="E39" s="60">
        <v>1</v>
      </c>
      <c r="F39" s="60">
        <v>4</v>
      </c>
      <c r="G39" s="60">
        <v>5</v>
      </c>
      <c r="H39" s="60">
        <v>5</v>
      </c>
      <c r="I39" s="60">
        <v>4</v>
      </c>
      <c r="J39" s="60">
        <v>4</v>
      </c>
      <c r="K39" s="60">
        <v>4</v>
      </c>
      <c r="L39" s="60">
        <v>2</v>
      </c>
      <c r="M39" s="60">
        <v>1</v>
      </c>
      <c r="N39" s="60">
        <v>5</v>
      </c>
      <c r="O39" s="60">
        <v>4</v>
      </c>
      <c r="P39" s="60">
        <v>5</v>
      </c>
      <c r="Q39" s="60">
        <v>4</v>
      </c>
      <c r="R39" s="64">
        <v>3.5</v>
      </c>
      <c r="S39" s="68">
        <v>500</v>
      </c>
      <c r="T39" s="68">
        <v>150</v>
      </c>
      <c r="U39" s="68">
        <v>2</v>
      </c>
      <c r="V39" s="68">
        <v>60</v>
      </c>
      <c r="W39" s="72">
        <v>800000</v>
      </c>
      <c r="X39" s="72">
        <v>4000000</v>
      </c>
      <c r="Y39" s="56" t="s">
        <v>177</v>
      </c>
      <c r="Z39" s="56" t="s">
        <v>178</v>
      </c>
      <c r="AA39" s="56" t="s">
        <v>179</v>
      </c>
      <c r="AB39" s="56" t="s">
        <v>180</v>
      </c>
      <c r="AC39" s="76" t="s">
        <v>142</v>
      </c>
    </row>
    <row r="40" spans="1:29" ht="34.5">
      <c r="A40" s="55" t="s">
        <v>184</v>
      </c>
      <c r="B40" s="56" t="s">
        <v>183</v>
      </c>
      <c r="C40" s="56" t="s">
        <v>136</v>
      </c>
      <c r="D40" s="56" t="s">
        <v>137</v>
      </c>
      <c r="E40" s="60">
        <v>5</v>
      </c>
      <c r="F40" s="60">
        <v>5</v>
      </c>
      <c r="G40" s="60">
        <v>5</v>
      </c>
      <c r="H40" s="60">
        <v>5</v>
      </c>
      <c r="I40" s="60">
        <v>5</v>
      </c>
      <c r="J40" s="60">
        <v>5</v>
      </c>
      <c r="K40" s="60">
        <v>5</v>
      </c>
      <c r="L40" s="60">
        <v>5</v>
      </c>
      <c r="M40" s="60">
        <v>5</v>
      </c>
      <c r="N40" s="60">
        <v>5</v>
      </c>
      <c r="O40" s="60">
        <v>5</v>
      </c>
      <c r="P40" s="60">
        <v>5</v>
      </c>
      <c r="Q40" s="60">
        <v>5</v>
      </c>
      <c r="R40" s="64">
        <v>3.5</v>
      </c>
      <c r="S40" s="68">
        <v>500</v>
      </c>
      <c r="T40" s="68">
        <v>150</v>
      </c>
      <c r="U40" s="68">
        <v>2</v>
      </c>
      <c r="V40" s="68">
        <v>60</v>
      </c>
      <c r="W40" s="72">
        <v>800000</v>
      </c>
      <c r="X40" s="72">
        <v>4000000</v>
      </c>
      <c r="Y40" s="56" t="s">
        <v>177</v>
      </c>
      <c r="Z40" s="56" t="s">
        <v>178</v>
      </c>
      <c r="AA40" s="56" t="s">
        <v>179</v>
      </c>
      <c r="AB40" s="56" t="s">
        <v>180</v>
      </c>
      <c r="AC40" s="76" t="s">
        <v>185</v>
      </c>
    </row>
  </sheetData>
  <mergeCells count="13">
    <mergeCell ref="C25:D25"/>
    <mergeCell ref="C26:D26"/>
    <mergeCell ref="A28:AC28"/>
    <mergeCell ref="A20:D20"/>
    <mergeCell ref="C21:D21"/>
    <mergeCell ref="C22:D22"/>
    <mergeCell ref="C23:D23"/>
    <mergeCell ref="C24:D24"/>
    <mergeCell ref="A1:J1"/>
    <mergeCell ref="A2:J2"/>
    <mergeCell ref="A4:D4"/>
    <mergeCell ref="A9:J9"/>
    <mergeCell ref="A18:J18"/>
  </mergeCells>
  <phoneticPr fontId="14" type="noConversion"/>
  <conditionalFormatting sqref="E30:Q40">
    <cfRule type="colorScale" priority="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J11:J17">
    <cfRule type="expression" dxfId="0" priority="1">
      <formula>J11&lt;&gt;100</formula>
    </cfRule>
  </conditionalFormatting>
  <dataValidations count="1">
    <dataValidation type="whole" showDropDown="1" showErrorMessage="1" errorTitle="Rating must be 1–5" error="Enter a whole-number technology rating from 1 to 5." sqref="E30:Q40" xr:uid="{00000000-0002-0000-0100-000000000000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Library</vt:lpstr>
      <vt:lpstr>Technology Performance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 CHENG WEI, KENNY</cp:lastModifiedBy>
  <dcterms:modified xsi:type="dcterms:W3CDTF">2026-07-24T01:11:48Z</dcterms:modified>
</cp:coreProperties>
</file>